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meh\Desktop\Les formations\Dossier MCT\AB-730\Labs\Lab M05\"/>
    </mc:Choice>
  </mc:AlternateContent>
  <xr:revisionPtr revIDLastSave="0" documentId="13_ncr:1_{BCE62694-55F0-4F23-A0E7-ADFD8EA8018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onthly Trends" sheetId="1" r:id="rId1"/>
    <sheet name="Client Feedback" sheetId="2" r:id="rId2"/>
    <sheet name="Advisor Activ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1" i="3" l="1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<sst xmlns="http://schemas.openxmlformats.org/spreadsheetml/2006/main" count="2536" uniqueCount="117">
  <si>
    <t>Month</t>
  </si>
  <si>
    <t>Total Client Meetings (count)</t>
  </si>
  <si>
    <t>In-person Client Meetings (count)</t>
  </si>
  <si>
    <t>Virtual Client Meetings (count)</t>
  </si>
  <si>
    <t>Client Portal Engagement (logins)</t>
  </si>
  <si>
    <t>Online Searches for Financial Planning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</si>
  <si>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</si>
  <si>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</si>
  <si>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</si>
  <si>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</si>
  <si>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</si>
  <si>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</si>
  <si>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</si>
  <si>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</si>
  <si>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</si>
  <si>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</si>
  <si>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</si>
  <si>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</si>
  <si>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</t>
  </si>
  <si>
    <t>Region</t>
  </si>
  <si>
    <t>Channel</t>
  </si>
  <si>
    <t>Topic</t>
  </si>
  <si>
    <t>Client Feedback (text)</t>
  </si>
  <si>
    <t>Sentiment</t>
  </si>
  <si>
    <t>Action Needed</t>
  </si>
  <si>
    <t>Priority</t>
  </si>
  <si>
    <t>Advisor</t>
  </si>
  <si>
    <t>South</t>
  </si>
  <si>
    <t>In-person meeting</t>
  </si>
  <si>
    <t>Client portal usability</t>
  </si>
  <si>
    <t>Client mentioned login issues and requested troubleshooting guidance and a quick follow-up.</t>
  </si>
  <si>
    <t>Positive</t>
  </si>
  <si>
    <t>No</t>
  </si>
  <si>
    <t>Low</t>
  </si>
  <si>
    <t>E. Garcia</t>
  </si>
  <si>
    <t>Midwest</t>
  </si>
  <si>
    <t>Email</t>
  </si>
  <si>
    <t>Client reported difficulty finding account documents in the portal and asked for a simpler navigation path.</t>
  </si>
  <si>
    <t>Neutral</t>
  </si>
  <si>
    <t>Yes</t>
  </si>
  <si>
    <t>Medium</t>
  </si>
  <si>
    <t>C. Nguyen</t>
  </si>
  <si>
    <t>Education savings</t>
  </si>
  <si>
    <t>Client wants to start saving for children’s education and asked about options and potential tax advantages.</t>
  </si>
  <si>
    <t>B. Patel</t>
  </si>
  <si>
    <t>West</t>
  </si>
  <si>
    <t>Phone call</t>
  </si>
  <si>
    <t>Disability insurance</t>
  </si>
  <si>
    <t>Client wants to confirm whether current policy covers bonuses and variable income.</t>
  </si>
  <si>
    <t>G. Lee</t>
  </si>
  <si>
    <t>Client portal message</t>
  </si>
  <si>
    <t>Budgeting &amp; cash flow</t>
  </si>
  <si>
    <t>Client asked for a summary of spending trends and recommendations to stabilize cash flow.</t>
  </si>
  <si>
    <t>H. Wilson</t>
  </si>
  <si>
    <t>Client asked what would happen if they could not work for several months due to illness or injury.</t>
  </si>
  <si>
    <t>Client would like a simple plan outlining milestones for education savings over the next 10 years.</t>
  </si>
  <si>
    <t>D. Smith</t>
  </si>
  <si>
    <t>Estate planning</t>
  </si>
  <si>
    <t>Client requested a checklist for estate planning items to validate over the next quarter.</t>
  </si>
  <si>
    <t>F. Brown</t>
  </si>
  <si>
    <t>High</t>
  </si>
  <si>
    <t>A. Johnson</t>
  </si>
  <si>
    <t>Client wants guidance on coordinating estate planning with insurance and investments.</t>
  </si>
  <si>
    <t>Northeast</t>
  </si>
  <si>
    <t>Retirement planning</t>
  </si>
  <si>
    <t>Client asked for a clearer view of projected retirement income and whether current contributions are on track.</t>
  </si>
  <si>
    <t>Client expressed concern about income protection and requested a review of disability coverage and benefit periods.</t>
  </si>
  <si>
    <t>Life insurance</t>
  </si>
  <si>
    <t>Client is unsure whether current life insurance coverage is sufficient after recent income changes and family needs.</t>
  </si>
  <si>
    <t>Concern</t>
  </si>
  <si>
    <t>Investment strategy</t>
  </si>
  <si>
    <t>Client wants to consolidate accounts for easier tracking and requested recommended next steps.</t>
  </si>
  <si>
    <t>Client requested help identifying opportunities to increase monthly savings while keeping flexibility.</t>
  </si>
  <si>
    <t>Client is feeling pressure from rising living costs and asked for budgeting strategies without reducing long-term goals.</t>
  </si>
  <si>
    <t>Client asked whether current beneficiaries and documents are up to date and what to review next.</t>
  </si>
  <si>
    <t>Client asked for a one-page guide on where to locate statements and action items in the portal.</t>
  </si>
  <si>
    <t>Client requested an estimate of future education costs and a suggested monthly savings amount.</t>
  </si>
  <si>
    <t>Client wants to understand how market volatility could impact retirement timing and what adjustments are recommended.</t>
  </si>
  <si>
    <t>Client wants a quick comparison of coverage amounts and estimated premium ranges.</t>
  </si>
  <si>
    <t>Client asked for a summary of performance drivers and suggested rebalancing actions.</t>
  </si>
  <si>
    <t>Client asked for an explanation of term vs permanent options and how each supports long-term planning.</t>
  </si>
  <si>
    <t>Client requested a simple summary of retirement goals and next steps after today’s discussion.</t>
  </si>
  <si>
    <t>Client Segment</t>
  </si>
  <si>
    <t>Meeting Type</t>
  </si>
  <si>
    <t>Product Focus</t>
  </si>
  <si>
    <t>Outcome</t>
  </si>
  <si>
    <t>Premium ($)</t>
  </si>
  <si>
    <t>AUM Change ($)</t>
  </si>
  <si>
    <t>Total Impact ($)</t>
  </si>
  <si>
    <t>Follow-up Due</t>
  </si>
  <si>
    <t>Status</t>
  </si>
  <si>
    <t>Notes</t>
  </si>
  <si>
    <t>Mass Affluent</t>
  </si>
  <si>
    <t>Annual review</t>
  </si>
  <si>
    <t>Follow-up scheduled</t>
  </si>
  <si>
    <t>Completed</t>
  </si>
  <si>
    <t>Focus on simple language and reassurance.</t>
  </si>
  <si>
    <t>J. Martinez</t>
  </si>
  <si>
    <t>Affluent</t>
  </si>
  <si>
    <t>Quarterly review</t>
  </si>
  <si>
    <t>Portfolio rebalance</t>
  </si>
  <si>
    <t>In Progress</t>
  </si>
  <si>
    <t>I. Davis</t>
  </si>
  <si>
    <t>Policy review</t>
  </si>
  <si>
    <t>Investments</t>
  </si>
  <si>
    <t>No change</t>
  </si>
  <si>
    <t>Client requested a clearer summary and next steps.</t>
  </si>
  <si>
    <t>Referral received</t>
  </si>
  <si>
    <t>Confirm beneficiaries and update documents if needed.</t>
  </si>
  <si>
    <t>Prospect meeting</t>
  </si>
  <si>
    <t>New policy</t>
  </si>
  <si>
    <t>High Net Worth</t>
  </si>
  <si>
    <t>Provide a one-page overview before next meeting.</t>
  </si>
  <si>
    <t>Claim support</t>
  </si>
  <si>
    <t>Send comparison options and schedule follow-up.</t>
  </si>
  <si>
    <t>Long-term care</t>
  </si>
  <si>
    <t>Policy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</si>
</sst>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\$#,##0;[Red]\(\$#,##0\)"/>
    <numFmt numFmtId="168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165" fontId="0" fillId="0" borderId="0" xfId="0" applyNumberFormat="1"/>
    <xf numFmtId="168" fontId="0" fillId="0" borderId="0" xfId="0" applyNumberFormat="1"/>
    <xf numFmtId="168" fontId="2" fillId="0" borderId="0" xfId="0" applyNumberFormat="1" applyFont="1"/>
    <xf numFmtId="168" fontId="3" fillId="0" borderId="0" xfId="0" applyNumberFormat="1" applyFont="1"/>
  </cellXfs>
  <cellStyles count="1">
    <cellStyle name="Normal" xfId="0" builtinId="0"/>
  </cellStyles>
  <dxfs count="2">
    <dxf>
      <numFmt numFmtId="168" formatCode="[$$-409]#,##0.00"/>
    </dxf>
    <dxf>
      <numFmt numFmtId="168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Trends" displayName="MonthlyTrends" ref="A1:F13">
  <autoFilter ref="A1:F13" xr:uid="{00000000-0009-0000-0100-000001000000}"/>
  <tableColumns count="6">
    <tableColumn id="1" xr3:uid="{00000000-0010-0000-0000-000001000000}" name="Month"/>
    <tableColumn id="2" xr3:uid="{00000000-0010-0000-0000-000002000000}" name="Total Client Meetings (count)"/>
    <tableColumn id="3" xr3:uid="{00000000-0010-0000-0000-000003000000}" name="In-person Client Meetings (count)"/>
    <tableColumn id="4" xr3:uid="{00000000-0010-0000-0000-000004000000}" name="Virtual Client Meetings (count)"/>
    <tableColumn id="5" xr3:uid="{00000000-0010-0000-0000-000005000000}" name="Client Portal Engagement (logins)"/>
    <tableColumn id="6" xr3:uid="{00000000-0010-0000-0000-000006000000}" name="Online Searches for Financial Plann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ientFeedback" displayName="ClientFeedback" ref="A1:I73">
  <autoFilter ref="A1:I73" xr:uid="{00000000-0009-0000-0100-000002000000}"/>
  <tableColumns count="9">
    <tableColumn id="1" xr3:uid="{00000000-0010-0000-0100-000001000000}" name="Date"/>
    <tableColumn id="2" xr3:uid="{00000000-0010-0000-0100-000002000000}" name="Region"/>
    <tableColumn id="3" xr3:uid="{00000000-0010-0000-0100-000003000000}" name="Channel"/>
    <tableColumn id="4" xr3:uid="{00000000-0010-0000-0100-000004000000}" name="Topic"/>
    <tableColumn id="5" xr3:uid="{00000000-0010-0000-0100-000005000000}" name="Client Feedback (text)"/>
    <tableColumn id="6" xr3:uid="{00000000-0010-0000-0100-000006000000}" name="Sentiment"/>
    <tableColumn id="7" xr3:uid="{00000000-0010-0000-0100-000007000000}" name="Action Needed"/>
    <tableColumn id="8" xr3:uid="{00000000-0010-0000-0100-000008000000}" name="Priority"/>
    <tableColumn id="9" xr3:uid="{00000000-0010-0000-0100-000009000000}" name="Adviso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visorActivity" displayName="AdvisorActivity" ref="A1:M241">
  <autoFilter ref="A1:M241" xr:uid="{00000000-0009-0000-0100-000003000000}"/>
  <tableColumns count="13">
    <tableColumn id="1" xr3:uid="{00000000-0010-0000-0200-000001000000}" name="Date"/>
    <tableColumn id="2" xr3:uid="{00000000-0010-0000-0200-000002000000}" name="Advisor"/>
    <tableColumn id="3" xr3:uid="{00000000-0010-0000-0200-000003000000}" name="Region"/>
    <tableColumn id="4" xr3:uid="{00000000-0010-0000-0200-000004000000}" name="Client Segment"/>
    <tableColumn id="5" xr3:uid="{00000000-0010-0000-0200-000005000000}" name="Meeting Type"/>
    <tableColumn id="6" xr3:uid="{00000000-0010-0000-0200-000006000000}" name="Product Focus"/>
    <tableColumn id="7" xr3:uid="{00000000-0010-0000-0200-000007000000}" name="Outcome"/>
    <tableColumn id="8" xr3:uid="{00000000-0010-0000-0200-000008000000}" name="Premium ($)"/>
    <tableColumn id="9" xr3:uid="{00000000-0010-0000-0200-000009000000}" name="AUM Change ($)" dataDxfId="1"/>
    <tableColumn id="10" xr3:uid="{00000000-0010-0000-0200-00000A000000}" name="Total Impact ($)" dataDxfId="0"/>
    <tableColumn id="11" xr3:uid="{00000000-0010-0000-0200-00000B000000}" name="Follow-up Due"/>
    <tableColumn id="12" xr3:uid="{00000000-0010-0000-0200-00000C000000}" name="Status"/>
    <tableColumn id="13" xr3:uid="{00000000-0010-0000-0200-00000D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/>
  </sheetViews>
  <sheetFormatPr defaultRowHeight="14.4" x14ac:dyDescent="0.3"/>
  <cols>
    <col min="1" max="1" width="14" customWidth="1"/>
    <col min="2" max="2" width="26" customWidth="1"/>
    <col min="3" max="4" width="30" customWidth="1"/>
    <col min="5" max="5" width="28" customWidth="1"/>
    <col min="6" max="6" width="30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>
        <f t="shared" ref="B2:B13" si="0">SUM(C2:D2)</f>
        <v>557</v>
      </c>
      <c r="C2" s="2">
        <v>229</v>
      </c>
      <c r="D2" s="2">
        <v>328</v>
      </c>
      <c r="E2" s="2">
        <v>12450</v>
      </c>
      <c r="F2" s="2">
        <v>5334</v>
      </c>
    </row>
    <row r="3" spans="1:6" x14ac:dyDescent="0.3">
      <c r="A3" t="s">
        <v>7</v>
      </c>
      <c r="B3" s="2">
        <f t="shared" si="0"/>
        <v>510</v>
      </c>
      <c r="C3" s="2">
        <v>220</v>
      </c>
      <c r="D3" s="2">
        <v>290</v>
      </c>
      <c r="E3" s="2">
        <v>12255</v>
      </c>
      <c r="F3" s="2">
        <v>4258</v>
      </c>
    </row>
    <row r="4" spans="1:6" x14ac:dyDescent="0.3">
      <c r="A4" t="s">
        <v>8</v>
      </c>
      <c r="B4" s="2">
        <f t="shared" si="0"/>
        <v>511</v>
      </c>
      <c r="C4" s="2">
        <v>223</v>
      </c>
      <c r="D4" s="2">
        <v>288</v>
      </c>
      <c r="E4" s="2">
        <v>11460</v>
      </c>
      <c r="F4" s="2">
        <v>4955</v>
      </c>
    </row>
    <row r="5" spans="1:6" x14ac:dyDescent="0.3">
      <c r="A5" t="s">
        <v>9</v>
      </c>
      <c r="B5" s="2">
        <f t="shared" si="0"/>
        <v>506</v>
      </c>
      <c r="C5" s="2">
        <v>208</v>
      </c>
      <c r="D5" s="2">
        <v>298</v>
      </c>
      <c r="E5" s="2">
        <v>12314</v>
      </c>
      <c r="F5" s="2">
        <v>5283</v>
      </c>
    </row>
    <row r="6" spans="1:6" x14ac:dyDescent="0.3">
      <c r="A6" t="s">
        <v>10</v>
      </c>
      <c r="B6" s="2">
        <f t="shared" si="0"/>
        <v>502</v>
      </c>
      <c r="C6" s="2">
        <v>202</v>
      </c>
      <c r="D6" s="2">
        <v>300</v>
      </c>
      <c r="E6" s="2">
        <v>10273</v>
      </c>
      <c r="F6" s="2">
        <v>4823</v>
      </c>
    </row>
    <row r="7" spans="1:6" x14ac:dyDescent="0.3">
      <c r="A7" t="s">
        <v>11</v>
      </c>
      <c r="B7" s="2">
        <f t="shared" si="0"/>
        <v>510</v>
      </c>
      <c r="C7" s="2">
        <v>209</v>
      </c>
      <c r="D7" s="2">
        <v>301</v>
      </c>
      <c r="E7" s="2">
        <v>10126</v>
      </c>
      <c r="F7" s="2">
        <v>3856</v>
      </c>
    </row>
    <row r="8" spans="1:6" x14ac:dyDescent="0.3">
      <c r="A8" t="s">
        <v>12</v>
      </c>
      <c r="B8" s="2">
        <f t="shared" si="0"/>
        <v>466</v>
      </c>
      <c r="C8" s="2">
        <v>186</v>
      </c>
      <c r="D8" s="2">
        <v>280</v>
      </c>
      <c r="E8" s="2">
        <v>16991</v>
      </c>
      <c r="F8" s="2">
        <v>4330</v>
      </c>
    </row>
    <row r="9" spans="1:6" x14ac:dyDescent="0.3">
      <c r="A9" t="s">
        <v>13</v>
      </c>
      <c r="B9" s="2">
        <f t="shared" si="0"/>
        <v>376</v>
      </c>
      <c r="C9" s="2">
        <v>142</v>
      </c>
      <c r="D9" s="2">
        <v>234</v>
      </c>
      <c r="E9" s="2">
        <v>13802</v>
      </c>
      <c r="F9" s="2">
        <v>4185</v>
      </c>
    </row>
    <row r="10" spans="1:6" x14ac:dyDescent="0.3">
      <c r="A10" t="s">
        <v>14</v>
      </c>
      <c r="B10" s="2">
        <f t="shared" si="0"/>
        <v>464</v>
      </c>
      <c r="C10" s="2">
        <v>193</v>
      </c>
      <c r="D10" s="2">
        <v>271</v>
      </c>
      <c r="E10" s="2">
        <v>12243</v>
      </c>
      <c r="F10" s="2">
        <v>4480</v>
      </c>
    </row>
    <row r="11" spans="1:6" x14ac:dyDescent="0.3">
      <c r="A11" t="s">
        <v>15</v>
      </c>
      <c r="B11" s="2">
        <f t="shared" si="0"/>
        <v>580</v>
      </c>
      <c r="C11" s="2">
        <v>240</v>
      </c>
      <c r="D11" s="2">
        <v>340</v>
      </c>
      <c r="E11" s="2">
        <v>12887</v>
      </c>
      <c r="F11" s="2">
        <v>4843</v>
      </c>
    </row>
    <row r="12" spans="1:6" x14ac:dyDescent="0.3">
      <c r="A12" t="s">
        <v>16</v>
      </c>
      <c r="B12" s="2">
        <f t="shared" si="0"/>
        <v>577</v>
      </c>
      <c r="C12" s="2">
        <v>262</v>
      </c>
      <c r="D12" s="2">
        <v>315</v>
      </c>
      <c r="E12" s="2">
        <v>12905</v>
      </c>
      <c r="F12" s="2">
        <v>4511</v>
      </c>
    </row>
    <row r="13" spans="1:6" x14ac:dyDescent="0.3">
      <c r="A13" t="s">
        <v>17</v>
      </c>
      <c r="B13" s="2">
        <f t="shared" si="0"/>
        <v>606</v>
      </c>
      <c r="C13" s="2">
        <v>254</v>
      </c>
      <c r="D13" s="2">
        <v>352</v>
      </c>
      <c r="E13" s="2">
        <v>13067</v>
      </c>
      <c r="F13" s="2">
        <v>5568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"/>
  <sheetViews>
    <sheetView workbookViewId="0"/>
  </sheetViews>
  <sheetFormatPr defaultRowHeight="14.4" x14ac:dyDescent="0.3"/>
  <cols>
    <col min="1" max="2" width="12" customWidth="1"/>
    <col min="3" max="4" width="18" customWidth="1"/>
    <col min="5" max="5" width="52" customWidth="1"/>
    <col min="6" max="6" width="12" customWidth="1"/>
    <col min="7" max="7" width="14" customWidth="1"/>
    <col min="8" max="8" width="10" customWidth="1"/>
    <col min="9" max="9" width="14" customWidth="1"/>
  </cols>
  <sheetData>
    <row r="1" spans="1:9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ht="28.8" x14ac:dyDescent="0.3">
      <c r="A2" s="3">
        <v>45706</v>
      </c>
      <c r="B2" t="s">
        <v>27</v>
      </c>
      <c r="C2" t="s">
        <v>28</v>
      </c>
      <c r="D2" t="s">
        <v>29</v>
      </c>
      <c r="E2" s="4" t="s">
        <v>30</v>
      </c>
      <c r="F2" t="s">
        <v>31</v>
      </c>
      <c r="G2" t="s">
        <v>32</v>
      </c>
      <c r="H2" t="s">
        <v>33</v>
      </c>
      <c r="I2" t="s">
        <v>34</v>
      </c>
    </row>
    <row r="3" spans="1:9" ht="28.8" x14ac:dyDescent="0.3">
      <c r="A3" s="3">
        <v>45782</v>
      </c>
      <c r="B3" t="s">
        <v>35</v>
      </c>
      <c r="C3" t="s">
        <v>36</v>
      </c>
      <c r="D3" t="s">
        <v>29</v>
      </c>
      <c r="E3" s="4" t="s">
        <v>37</v>
      </c>
      <c r="F3" t="s">
        <v>38</v>
      </c>
      <c r="G3" t="s">
        <v>39</v>
      </c>
      <c r="H3" t="s">
        <v>40</v>
      </c>
      <c r="I3" t="s">
        <v>41</v>
      </c>
    </row>
    <row r="4" spans="1:9" ht="28.8" x14ac:dyDescent="0.3">
      <c r="A4" s="3">
        <v>45699</v>
      </c>
      <c r="B4" t="s">
        <v>27</v>
      </c>
      <c r="C4" t="s">
        <v>28</v>
      </c>
      <c r="D4" t="s">
        <v>42</v>
      </c>
      <c r="E4" s="4" t="s">
        <v>43</v>
      </c>
      <c r="F4" t="s">
        <v>31</v>
      </c>
      <c r="G4" t="s">
        <v>32</v>
      </c>
      <c r="H4" t="s">
        <v>33</v>
      </c>
      <c r="I4" t="s">
        <v>44</v>
      </c>
    </row>
    <row r="5" spans="1:9" ht="28.8" x14ac:dyDescent="0.3">
      <c r="A5" s="3">
        <v>45971</v>
      </c>
      <c r="B5" t="s">
        <v>45</v>
      </c>
      <c r="C5" t="s">
        <v>46</v>
      </c>
      <c r="D5" t="s">
        <v>47</v>
      </c>
      <c r="E5" s="4" t="s">
        <v>48</v>
      </c>
      <c r="F5" t="s">
        <v>31</v>
      </c>
      <c r="G5" t="s">
        <v>32</v>
      </c>
      <c r="H5" t="s">
        <v>33</v>
      </c>
      <c r="I5" t="s">
        <v>49</v>
      </c>
    </row>
    <row r="6" spans="1:9" ht="28.8" x14ac:dyDescent="0.3">
      <c r="A6" s="3">
        <v>45867</v>
      </c>
      <c r="B6" t="s">
        <v>35</v>
      </c>
      <c r="C6" t="s">
        <v>50</v>
      </c>
      <c r="D6" t="s">
        <v>51</v>
      </c>
      <c r="E6" s="4" t="s">
        <v>52</v>
      </c>
      <c r="F6" t="s">
        <v>31</v>
      </c>
      <c r="G6" t="s">
        <v>32</v>
      </c>
      <c r="H6" t="s">
        <v>40</v>
      </c>
      <c r="I6" t="s">
        <v>53</v>
      </c>
    </row>
    <row r="7" spans="1:9" ht="28.8" x14ac:dyDescent="0.3">
      <c r="A7" s="3">
        <v>45703</v>
      </c>
      <c r="B7" t="s">
        <v>27</v>
      </c>
      <c r="C7" t="s">
        <v>46</v>
      </c>
      <c r="D7" t="s">
        <v>47</v>
      </c>
      <c r="E7" s="4" t="s">
        <v>54</v>
      </c>
      <c r="F7" t="s">
        <v>38</v>
      </c>
      <c r="G7" t="s">
        <v>32</v>
      </c>
      <c r="H7" t="s">
        <v>33</v>
      </c>
      <c r="I7" t="s">
        <v>34</v>
      </c>
    </row>
    <row r="8" spans="1:9" ht="28.8" x14ac:dyDescent="0.3">
      <c r="A8" s="3">
        <v>45923</v>
      </c>
      <c r="B8" t="s">
        <v>27</v>
      </c>
      <c r="C8" t="s">
        <v>28</v>
      </c>
      <c r="D8" t="s">
        <v>42</v>
      </c>
      <c r="E8" s="4" t="s">
        <v>55</v>
      </c>
      <c r="F8" t="s">
        <v>38</v>
      </c>
      <c r="G8" t="s">
        <v>32</v>
      </c>
      <c r="H8" t="s">
        <v>33</v>
      </c>
      <c r="I8" t="s">
        <v>56</v>
      </c>
    </row>
    <row r="9" spans="1:9" ht="28.8" x14ac:dyDescent="0.3">
      <c r="A9" s="3">
        <v>45822</v>
      </c>
      <c r="B9" t="s">
        <v>45</v>
      </c>
      <c r="C9" t="s">
        <v>28</v>
      </c>
      <c r="D9" t="s">
        <v>57</v>
      </c>
      <c r="E9" s="4" t="s">
        <v>58</v>
      </c>
      <c r="F9" t="s">
        <v>31</v>
      </c>
      <c r="G9" t="s">
        <v>32</v>
      </c>
      <c r="H9" t="s">
        <v>33</v>
      </c>
      <c r="I9" t="s">
        <v>59</v>
      </c>
    </row>
    <row r="10" spans="1:9" ht="28.8" x14ac:dyDescent="0.3">
      <c r="A10" s="3">
        <v>45667</v>
      </c>
      <c r="B10" t="s">
        <v>35</v>
      </c>
      <c r="C10" t="s">
        <v>36</v>
      </c>
      <c r="D10" t="s">
        <v>29</v>
      </c>
      <c r="E10" s="4" t="s">
        <v>30</v>
      </c>
      <c r="F10" t="s">
        <v>31</v>
      </c>
      <c r="G10" t="s">
        <v>39</v>
      </c>
      <c r="H10" t="s">
        <v>60</v>
      </c>
      <c r="I10" t="s">
        <v>41</v>
      </c>
    </row>
    <row r="11" spans="1:9" ht="28.8" x14ac:dyDescent="0.3">
      <c r="A11" s="3">
        <v>45841</v>
      </c>
      <c r="B11" t="s">
        <v>45</v>
      </c>
      <c r="C11" t="s">
        <v>46</v>
      </c>
      <c r="D11" t="s">
        <v>42</v>
      </c>
      <c r="E11" s="4" t="s">
        <v>43</v>
      </c>
      <c r="F11" t="s">
        <v>38</v>
      </c>
      <c r="G11" t="s">
        <v>32</v>
      </c>
      <c r="H11" t="s">
        <v>33</v>
      </c>
      <c r="I11" t="s">
        <v>61</v>
      </c>
    </row>
    <row r="12" spans="1:9" ht="28.8" x14ac:dyDescent="0.3">
      <c r="A12" s="3">
        <v>45945</v>
      </c>
      <c r="B12" t="s">
        <v>45</v>
      </c>
      <c r="C12" t="s">
        <v>28</v>
      </c>
      <c r="D12" t="s">
        <v>57</v>
      </c>
      <c r="E12" s="4" t="s">
        <v>62</v>
      </c>
      <c r="F12" t="s">
        <v>31</v>
      </c>
      <c r="G12" t="s">
        <v>32</v>
      </c>
      <c r="H12" t="s">
        <v>33</v>
      </c>
      <c r="I12" t="s">
        <v>44</v>
      </c>
    </row>
    <row r="13" spans="1:9" ht="28.8" x14ac:dyDescent="0.3">
      <c r="A13" s="3">
        <v>45905</v>
      </c>
      <c r="B13" t="s">
        <v>63</v>
      </c>
      <c r="C13" t="s">
        <v>50</v>
      </c>
      <c r="D13" t="s">
        <v>64</v>
      </c>
      <c r="E13" s="4" t="s">
        <v>65</v>
      </c>
      <c r="F13" t="s">
        <v>31</v>
      </c>
      <c r="G13" t="s">
        <v>32</v>
      </c>
      <c r="H13" t="s">
        <v>33</v>
      </c>
      <c r="I13" t="s">
        <v>34</v>
      </c>
    </row>
    <row r="14" spans="1:9" ht="28.8" x14ac:dyDescent="0.3">
      <c r="A14" s="3">
        <v>45744</v>
      </c>
      <c r="B14" t="s">
        <v>35</v>
      </c>
      <c r="C14" t="s">
        <v>46</v>
      </c>
      <c r="D14" t="s">
        <v>47</v>
      </c>
      <c r="E14" s="4" t="s">
        <v>66</v>
      </c>
      <c r="F14" t="s">
        <v>38</v>
      </c>
      <c r="G14" t="s">
        <v>32</v>
      </c>
      <c r="H14" t="s">
        <v>33</v>
      </c>
      <c r="I14" t="s">
        <v>44</v>
      </c>
    </row>
    <row r="15" spans="1:9" ht="28.8" x14ac:dyDescent="0.3">
      <c r="A15" s="3">
        <v>45818</v>
      </c>
      <c r="B15" t="s">
        <v>45</v>
      </c>
      <c r="C15" t="s">
        <v>50</v>
      </c>
      <c r="D15" t="s">
        <v>67</v>
      </c>
      <c r="E15" s="4" t="s">
        <v>68</v>
      </c>
      <c r="F15" t="s">
        <v>69</v>
      </c>
      <c r="G15" t="s">
        <v>39</v>
      </c>
      <c r="H15" t="s">
        <v>33</v>
      </c>
      <c r="I15" t="s">
        <v>41</v>
      </c>
    </row>
    <row r="16" spans="1:9" ht="28.8" x14ac:dyDescent="0.3">
      <c r="A16" s="3">
        <v>45807</v>
      </c>
      <c r="B16" t="s">
        <v>45</v>
      </c>
      <c r="C16" t="s">
        <v>36</v>
      </c>
      <c r="D16" t="s">
        <v>67</v>
      </c>
      <c r="E16" s="4" t="s">
        <v>68</v>
      </c>
      <c r="F16" t="s">
        <v>31</v>
      </c>
      <c r="G16" t="s">
        <v>32</v>
      </c>
      <c r="H16" t="s">
        <v>40</v>
      </c>
      <c r="I16" t="s">
        <v>34</v>
      </c>
    </row>
    <row r="17" spans="1:9" ht="28.8" x14ac:dyDescent="0.3">
      <c r="A17" s="3">
        <v>45741</v>
      </c>
      <c r="B17" t="s">
        <v>35</v>
      </c>
      <c r="C17" t="s">
        <v>36</v>
      </c>
      <c r="D17" t="s">
        <v>29</v>
      </c>
      <c r="E17" s="4" t="s">
        <v>30</v>
      </c>
      <c r="F17" t="s">
        <v>38</v>
      </c>
      <c r="G17" t="s">
        <v>32</v>
      </c>
      <c r="H17" t="s">
        <v>33</v>
      </c>
      <c r="I17" t="s">
        <v>41</v>
      </c>
    </row>
    <row r="18" spans="1:9" ht="28.8" x14ac:dyDescent="0.3">
      <c r="A18" s="3">
        <v>45730</v>
      </c>
      <c r="B18" t="s">
        <v>35</v>
      </c>
      <c r="C18" t="s">
        <v>46</v>
      </c>
      <c r="D18" t="s">
        <v>42</v>
      </c>
      <c r="E18" s="4" t="s">
        <v>55</v>
      </c>
      <c r="F18" t="s">
        <v>69</v>
      </c>
      <c r="G18" t="s">
        <v>39</v>
      </c>
      <c r="H18" t="s">
        <v>40</v>
      </c>
      <c r="I18" t="s">
        <v>59</v>
      </c>
    </row>
    <row r="19" spans="1:9" ht="28.8" x14ac:dyDescent="0.3">
      <c r="A19" s="3">
        <v>45686</v>
      </c>
      <c r="B19" t="s">
        <v>35</v>
      </c>
      <c r="C19" t="s">
        <v>46</v>
      </c>
      <c r="D19" t="s">
        <v>70</v>
      </c>
      <c r="E19" s="4" t="s">
        <v>71</v>
      </c>
      <c r="F19" t="s">
        <v>31</v>
      </c>
      <c r="G19" t="s">
        <v>32</v>
      </c>
      <c r="H19" t="s">
        <v>33</v>
      </c>
      <c r="I19" t="s">
        <v>56</v>
      </c>
    </row>
    <row r="20" spans="1:9" ht="28.8" x14ac:dyDescent="0.3">
      <c r="A20" s="3">
        <v>45728</v>
      </c>
      <c r="B20" t="s">
        <v>35</v>
      </c>
      <c r="C20" t="s">
        <v>36</v>
      </c>
      <c r="D20" t="s">
        <v>51</v>
      </c>
      <c r="E20" s="4" t="s">
        <v>72</v>
      </c>
      <c r="F20" t="s">
        <v>38</v>
      </c>
      <c r="G20" t="s">
        <v>32</v>
      </c>
      <c r="H20" t="s">
        <v>40</v>
      </c>
      <c r="I20" t="s">
        <v>34</v>
      </c>
    </row>
    <row r="21" spans="1:9" ht="28.8" x14ac:dyDescent="0.3">
      <c r="A21" s="3">
        <v>45922</v>
      </c>
      <c r="B21" t="s">
        <v>27</v>
      </c>
      <c r="C21" t="s">
        <v>50</v>
      </c>
      <c r="D21" t="s">
        <v>51</v>
      </c>
      <c r="E21" s="4" t="s">
        <v>73</v>
      </c>
      <c r="F21" t="s">
        <v>69</v>
      </c>
      <c r="G21" t="s">
        <v>39</v>
      </c>
      <c r="H21" t="s">
        <v>40</v>
      </c>
      <c r="I21" t="s">
        <v>34</v>
      </c>
    </row>
    <row r="22" spans="1:9" ht="28.8" x14ac:dyDescent="0.3">
      <c r="A22" s="3">
        <v>45736</v>
      </c>
      <c r="B22" t="s">
        <v>27</v>
      </c>
      <c r="C22" t="s">
        <v>36</v>
      </c>
      <c r="D22" t="s">
        <v>47</v>
      </c>
      <c r="E22" s="4" t="s">
        <v>48</v>
      </c>
      <c r="F22" t="s">
        <v>38</v>
      </c>
      <c r="G22" t="s">
        <v>32</v>
      </c>
      <c r="H22" t="s">
        <v>40</v>
      </c>
      <c r="I22" t="s">
        <v>41</v>
      </c>
    </row>
    <row r="23" spans="1:9" ht="28.8" x14ac:dyDescent="0.3">
      <c r="A23" s="3">
        <v>45854</v>
      </c>
      <c r="B23" t="s">
        <v>45</v>
      </c>
      <c r="C23" t="s">
        <v>28</v>
      </c>
      <c r="D23" t="s">
        <v>57</v>
      </c>
      <c r="E23" s="4" t="s">
        <v>74</v>
      </c>
      <c r="F23" t="s">
        <v>31</v>
      </c>
      <c r="G23" t="s">
        <v>32</v>
      </c>
      <c r="H23" t="s">
        <v>40</v>
      </c>
      <c r="I23" t="s">
        <v>49</v>
      </c>
    </row>
    <row r="24" spans="1:9" ht="28.8" x14ac:dyDescent="0.3">
      <c r="A24" s="3">
        <v>45864</v>
      </c>
      <c r="B24" t="s">
        <v>45</v>
      </c>
      <c r="C24" t="s">
        <v>50</v>
      </c>
      <c r="D24" t="s">
        <v>42</v>
      </c>
      <c r="E24" s="4" t="s">
        <v>43</v>
      </c>
      <c r="F24" t="s">
        <v>38</v>
      </c>
      <c r="G24" t="s">
        <v>32</v>
      </c>
      <c r="H24" t="s">
        <v>40</v>
      </c>
      <c r="I24" t="s">
        <v>41</v>
      </c>
    </row>
    <row r="25" spans="1:9" ht="28.8" x14ac:dyDescent="0.3">
      <c r="A25" s="3">
        <v>45891</v>
      </c>
      <c r="B25" t="s">
        <v>45</v>
      </c>
      <c r="C25" t="s">
        <v>28</v>
      </c>
      <c r="D25" t="s">
        <v>29</v>
      </c>
      <c r="E25" s="4" t="s">
        <v>75</v>
      </c>
      <c r="F25" t="s">
        <v>38</v>
      </c>
      <c r="G25" t="s">
        <v>39</v>
      </c>
      <c r="H25" t="s">
        <v>40</v>
      </c>
      <c r="I25" t="s">
        <v>59</v>
      </c>
    </row>
    <row r="26" spans="1:9" ht="28.8" x14ac:dyDescent="0.3">
      <c r="A26" s="3">
        <v>45941</v>
      </c>
      <c r="B26" t="s">
        <v>45</v>
      </c>
      <c r="C26" t="s">
        <v>36</v>
      </c>
      <c r="D26" t="s">
        <v>42</v>
      </c>
      <c r="E26" s="4" t="s">
        <v>76</v>
      </c>
      <c r="F26" t="s">
        <v>31</v>
      </c>
      <c r="G26" t="s">
        <v>32</v>
      </c>
      <c r="H26" t="s">
        <v>40</v>
      </c>
      <c r="I26" t="s">
        <v>56</v>
      </c>
    </row>
    <row r="27" spans="1:9" ht="28.8" x14ac:dyDescent="0.3">
      <c r="A27" s="3">
        <v>45723</v>
      </c>
      <c r="B27" t="s">
        <v>35</v>
      </c>
      <c r="C27" t="s">
        <v>28</v>
      </c>
      <c r="D27" t="s">
        <v>29</v>
      </c>
      <c r="E27" s="4" t="s">
        <v>37</v>
      </c>
      <c r="F27" t="s">
        <v>31</v>
      </c>
      <c r="G27" t="s">
        <v>39</v>
      </c>
      <c r="H27" t="s">
        <v>60</v>
      </c>
      <c r="I27" t="s">
        <v>41</v>
      </c>
    </row>
    <row r="28" spans="1:9" ht="28.8" x14ac:dyDescent="0.3">
      <c r="A28" s="3">
        <v>45857</v>
      </c>
      <c r="B28" t="s">
        <v>35</v>
      </c>
      <c r="C28" t="s">
        <v>28</v>
      </c>
      <c r="D28" t="s">
        <v>51</v>
      </c>
      <c r="E28" s="4" t="s">
        <v>52</v>
      </c>
      <c r="F28" t="s">
        <v>38</v>
      </c>
      <c r="G28" t="s">
        <v>32</v>
      </c>
      <c r="H28" t="s">
        <v>33</v>
      </c>
      <c r="I28" t="s">
        <v>41</v>
      </c>
    </row>
    <row r="29" spans="1:9" ht="28.8" x14ac:dyDescent="0.3">
      <c r="A29" s="3">
        <v>45733</v>
      </c>
      <c r="B29" t="s">
        <v>45</v>
      </c>
      <c r="C29" t="s">
        <v>46</v>
      </c>
      <c r="D29" t="s">
        <v>29</v>
      </c>
      <c r="E29" s="4" t="s">
        <v>37</v>
      </c>
      <c r="F29" t="s">
        <v>38</v>
      </c>
      <c r="G29" t="s">
        <v>39</v>
      </c>
      <c r="H29" t="s">
        <v>33</v>
      </c>
      <c r="I29" t="s">
        <v>41</v>
      </c>
    </row>
    <row r="30" spans="1:9" ht="28.8" x14ac:dyDescent="0.3">
      <c r="A30" s="3">
        <v>45771</v>
      </c>
      <c r="B30" t="s">
        <v>35</v>
      </c>
      <c r="C30" t="s">
        <v>36</v>
      </c>
      <c r="D30" t="s">
        <v>47</v>
      </c>
      <c r="E30" s="4" t="s">
        <v>54</v>
      </c>
      <c r="F30" t="s">
        <v>38</v>
      </c>
      <c r="G30" t="s">
        <v>32</v>
      </c>
      <c r="H30" t="s">
        <v>33</v>
      </c>
      <c r="I30" t="s">
        <v>49</v>
      </c>
    </row>
    <row r="31" spans="1:9" ht="28.8" x14ac:dyDescent="0.3">
      <c r="A31" s="3">
        <v>45753</v>
      </c>
      <c r="B31" t="s">
        <v>27</v>
      </c>
      <c r="C31" t="s">
        <v>36</v>
      </c>
      <c r="D31" t="s">
        <v>47</v>
      </c>
      <c r="E31" s="4" t="s">
        <v>66</v>
      </c>
      <c r="F31" t="s">
        <v>69</v>
      </c>
      <c r="G31" t="s">
        <v>39</v>
      </c>
      <c r="H31" t="s">
        <v>60</v>
      </c>
      <c r="I31" t="s">
        <v>44</v>
      </c>
    </row>
    <row r="32" spans="1:9" ht="43.2" x14ac:dyDescent="0.3">
      <c r="A32" s="3">
        <v>45759</v>
      </c>
      <c r="B32" t="s">
        <v>63</v>
      </c>
      <c r="C32" t="s">
        <v>46</v>
      </c>
      <c r="D32" t="s">
        <v>64</v>
      </c>
      <c r="E32" s="4" t="s">
        <v>77</v>
      </c>
      <c r="F32" t="s">
        <v>69</v>
      </c>
      <c r="G32" t="s">
        <v>39</v>
      </c>
      <c r="H32" t="s">
        <v>60</v>
      </c>
      <c r="I32" t="s">
        <v>53</v>
      </c>
    </row>
    <row r="33" spans="1:9" ht="28.8" x14ac:dyDescent="0.3">
      <c r="A33" s="3">
        <v>45848</v>
      </c>
      <c r="B33" t="s">
        <v>35</v>
      </c>
      <c r="C33" t="s">
        <v>46</v>
      </c>
      <c r="D33" t="s">
        <v>67</v>
      </c>
      <c r="E33" s="4" t="s">
        <v>78</v>
      </c>
      <c r="F33" t="s">
        <v>31</v>
      </c>
      <c r="G33" t="s">
        <v>32</v>
      </c>
      <c r="H33" t="s">
        <v>40</v>
      </c>
      <c r="I33" t="s">
        <v>53</v>
      </c>
    </row>
    <row r="34" spans="1:9" ht="28.8" x14ac:dyDescent="0.3">
      <c r="A34" s="3">
        <v>45747</v>
      </c>
      <c r="B34" t="s">
        <v>45</v>
      </c>
      <c r="C34" t="s">
        <v>46</v>
      </c>
      <c r="D34" t="s">
        <v>70</v>
      </c>
      <c r="E34" s="4" t="s">
        <v>79</v>
      </c>
      <c r="F34" t="s">
        <v>38</v>
      </c>
      <c r="G34" t="s">
        <v>32</v>
      </c>
      <c r="H34" t="s">
        <v>33</v>
      </c>
      <c r="I34" t="s">
        <v>59</v>
      </c>
    </row>
    <row r="35" spans="1:9" ht="28.8" x14ac:dyDescent="0.3">
      <c r="A35" s="3">
        <v>45961</v>
      </c>
      <c r="B35" t="s">
        <v>45</v>
      </c>
      <c r="C35" t="s">
        <v>46</v>
      </c>
      <c r="D35" t="s">
        <v>51</v>
      </c>
      <c r="E35" s="4" t="s">
        <v>73</v>
      </c>
      <c r="F35" t="s">
        <v>69</v>
      </c>
      <c r="G35" t="s">
        <v>39</v>
      </c>
      <c r="H35" t="s">
        <v>33</v>
      </c>
      <c r="I35" t="s">
        <v>49</v>
      </c>
    </row>
    <row r="36" spans="1:9" ht="28.8" x14ac:dyDescent="0.3">
      <c r="A36" s="3">
        <v>45901</v>
      </c>
      <c r="B36" t="s">
        <v>35</v>
      </c>
      <c r="C36" t="s">
        <v>46</v>
      </c>
      <c r="D36" t="s">
        <v>51</v>
      </c>
      <c r="E36" s="4" t="s">
        <v>72</v>
      </c>
      <c r="F36" t="s">
        <v>38</v>
      </c>
      <c r="G36" t="s">
        <v>32</v>
      </c>
      <c r="H36" t="s">
        <v>40</v>
      </c>
      <c r="I36" t="s">
        <v>59</v>
      </c>
    </row>
    <row r="37" spans="1:9" ht="28.8" x14ac:dyDescent="0.3">
      <c r="A37" s="3">
        <v>45974</v>
      </c>
      <c r="B37" t="s">
        <v>63</v>
      </c>
      <c r="C37" t="s">
        <v>46</v>
      </c>
      <c r="D37" t="s">
        <v>67</v>
      </c>
      <c r="E37" s="4" t="s">
        <v>78</v>
      </c>
      <c r="F37" t="s">
        <v>69</v>
      </c>
      <c r="G37" t="s">
        <v>39</v>
      </c>
      <c r="H37" t="s">
        <v>33</v>
      </c>
      <c r="I37" t="s">
        <v>61</v>
      </c>
    </row>
    <row r="38" spans="1:9" ht="28.8" x14ac:dyDescent="0.3">
      <c r="A38" s="3">
        <v>45701</v>
      </c>
      <c r="B38" t="s">
        <v>45</v>
      </c>
      <c r="C38" t="s">
        <v>50</v>
      </c>
      <c r="D38" t="s">
        <v>29</v>
      </c>
      <c r="E38" s="4" t="s">
        <v>75</v>
      </c>
      <c r="F38" t="s">
        <v>38</v>
      </c>
      <c r="G38" t="s">
        <v>39</v>
      </c>
      <c r="H38" t="s">
        <v>60</v>
      </c>
      <c r="I38" t="s">
        <v>44</v>
      </c>
    </row>
    <row r="39" spans="1:9" ht="28.8" x14ac:dyDescent="0.3">
      <c r="A39" s="3">
        <v>45793</v>
      </c>
      <c r="B39" t="s">
        <v>63</v>
      </c>
      <c r="C39" t="s">
        <v>36</v>
      </c>
      <c r="D39" t="s">
        <v>67</v>
      </c>
      <c r="E39" s="4" t="s">
        <v>78</v>
      </c>
      <c r="F39" t="s">
        <v>38</v>
      </c>
      <c r="G39" t="s">
        <v>32</v>
      </c>
      <c r="H39" t="s">
        <v>33</v>
      </c>
      <c r="I39" t="s">
        <v>53</v>
      </c>
    </row>
    <row r="40" spans="1:9" ht="28.8" x14ac:dyDescent="0.3">
      <c r="A40" s="3">
        <v>45788</v>
      </c>
      <c r="B40" t="s">
        <v>27</v>
      </c>
      <c r="C40" t="s">
        <v>36</v>
      </c>
      <c r="D40" t="s">
        <v>29</v>
      </c>
      <c r="E40" s="4" t="s">
        <v>37</v>
      </c>
      <c r="F40" t="s">
        <v>31</v>
      </c>
      <c r="G40" t="s">
        <v>39</v>
      </c>
      <c r="H40" t="s">
        <v>33</v>
      </c>
      <c r="I40" t="s">
        <v>34</v>
      </c>
    </row>
    <row r="41" spans="1:9" ht="28.8" x14ac:dyDescent="0.3">
      <c r="A41" s="3">
        <v>45716</v>
      </c>
      <c r="B41" t="s">
        <v>45</v>
      </c>
      <c r="C41" t="s">
        <v>46</v>
      </c>
      <c r="D41" t="s">
        <v>42</v>
      </c>
      <c r="E41" s="4" t="s">
        <v>43</v>
      </c>
      <c r="F41" t="s">
        <v>31</v>
      </c>
      <c r="G41" t="s">
        <v>32</v>
      </c>
      <c r="H41" t="s">
        <v>33</v>
      </c>
      <c r="I41" t="s">
        <v>53</v>
      </c>
    </row>
    <row r="42" spans="1:9" ht="28.8" x14ac:dyDescent="0.3">
      <c r="A42" s="3">
        <v>45974</v>
      </c>
      <c r="B42" t="s">
        <v>27</v>
      </c>
      <c r="C42" t="s">
        <v>36</v>
      </c>
      <c r="D42" t="s">
        <v>42</v>
      </c>
      <c r="E42" s="4" t="s">
        <v>76</v>
      </c>
      <c r="F42" t="s">
        <v>38</v>
      </c>
      <c r="G42" t="s">
        <v>32</v>
      </c>
      <c r="H42" t="s">
        <v>33</v>
      </c>
      <c r="I42" t="s">
        <v>59</v>
      </c>
    </row>
    <row r="43" spans="1:9" ht="28.8" x14ac:dyDescent="0.3">
      <c r="A43" s="3">
        <v>45686</v>
      </c>
      <c r="B43" t="s">
        <v>45</v>
      </c>
      <c r="C43" t="s">
        <v>36</v>
      </c>
      <c r="D43" t="s">
        <v>67</v>
      </c>
      <c r="E43" s="4" t="s">
        <v>80</v>
      </c>
      <c r="F43" t="s">
        <v>38</v>
      </c>
      <c r="G43" t="s">
        <v>32</v>
      </c>
      <c r="H43" t="s">
        <v>33</v>
      </c>
      <c r="I43" t="s">
        <v>34</v>
      </c>
    </row>
    <row r="44" spans="1:9" ht="28.8" x14ac:dyDescent="0.3">
      <c r="A44" s="3">
        <v>45925</v>
      </c>
      <c r="B44" t="s">
        <v>27</v>
      </c>
      <c r="C44" t="s">
        <v>46</v>
      </c>
      <c r="D44" t="s">
        <v>47</v>
      </c>
      <c r="E44" s="4" t="s">
        <v>48</v>
      </c>
      <c r="F44" t="s">
        <v>31</v>
      </c>
      <c r="G44" t="s">
        <v>32</v>
      </c>
      <c r="H44" t="s">
        <v>40</v>
      </c>
      <c r="I44" t="s">
        <v>59</v>
      </c>
    </row>
    <row r="45" spans="1:9" ht="43.2" x14ac:dyDescent="0.3">
      <c r="A45" s="3">
        <v>45817</v>
      </c>
      <c r="B45" t="s">
        <v>35</v>
      </c>
      <c r="C45" t="s">
        <v>50</v>
      </c>
      <c r="D45" t="s">
        <v>64</v>
      </c>
      <c r="E45" s="4" t="s">
        <v>77</v>
      </c>
      <c r="F45" t="s">
        <v>69</v>
      </c>
      <c r="G45" t="s">
        <v>39</v>
      </c>
      <c r="H45" t="s">
        <v>33</v>
      </c>
      <c r="I45" t="s">
        <v>59</v>
      </c>
    </row>
    <row r="46" spans="1:9" ht="28.8" x14ac:dyDescent="0.3">
      <c r="A46" s="3">
        <v>45989</v>
      </c>
      <c r="B46" t="s">
        <v>63</v>
      </c>
      <c r="C46" t="s">
        <v>46</v>
      </c>
      <c r="D46" t="s">
        <v>67</v>
      </c>
      <c r="E46" s="4" t="s">
        <v>78</v>
      </c>
      <c r="F46" t="s">
        <v>31</v>
      </c>
      <c r="G46" t="s">
        <v>32</v>
      </c>
      <c r="H46" t="s">
        <v>33</v>
      </c>
      <c r="I46" t="s">
        <v>61</v>
      </c>
    </row>
    <row r="47" spans="1:9" ht="28.8" x14ac:dyDescent="0.3">
      <c r="A47" s="3">
        <v>45731</v>
      </c>
      <c r="B47" t="s">
        <v>35</v>
      </c>
      <c r="C47" t="s">
        <v>28</v>
      </c>
      <c r="D47" t="s">
        <v>70</v>
      </c>
      <c r="E47" s="4" t="s">
        <v>79</v>
      </c>
      <c r="F47" t="s">
        <v>38</v>
      </c>
      <c r="G47" t="s">
        <v>32</v>
      </c>
      <c r="H47" t="s">
        <v>33</v>
      </c>
      <c r="I47" t="s">
        <v>61</v>
      </c>
    </row>
    <row r="48" spans="1:9" ht="28.8" x14ac:dyDescent="0.3">
      <c r="A48" s="3">
        <v>45812</v>
      </c>
      <c r="B48" t="s">
        <v>27</v>
      </c>
      <c r="C48" t="s">
        <v>36</v>
      </c>
      <c r="D48" t="s">
        <v>51</v>
      </c>
      <c r="E48" s="4" t="s">
        <v>52</v>
      </c>
      <c r="F48" t="s">
        <v>38</v>
      </c>
      <c r="G48" t="s">
        <v>32</v>
      </c>
      <c r="H48" t="s">
        <v>33</v>
      </c>
      <c r="I48" t="s">
        <v>34</v>
      </c>
    </row>
    <row r="49" spans="1:9" ht="28.8" x14ac:dyDescent="0.3">
      <c r="A49" s="3">
        <v>45734</v>
      </c>
      <c r="B49" t="s">
        <v>45</v>
      </c>
      <c r="C49" t="s">
        <v>46</v>
      </c>
      <c r="D49" t="s">
        <v>47</v>
      </c>
      <c r="E49" s="4" t="s">
        <v>48</v>
      </c>
      <c r="F49" t="s">
        <v>69</v>
      </c>
      <c r="G49" t="s">
        <v>39</v>
      </c>
      <c r="H49" t="s">
        <v>60</v>
      </c>
      <c r="I49" t="s">
        <v>59</v>
      </c>
    </row>
    <row r="50" spans="1:9" ht="28.8" x14ac:dyDescent="0.3">
      <c r="A50" s="3">
        <v>45792</v>
      </c>
      <c r="B50" t="s">
        <v>35</v>
      </c>
      <c r="C50" t="s">
        <v>28</v>
      </c>
      <c r="D50" t="s">
        <v>64</v>
      </c>
      <c r="E50" s="4" t="s">
        <v>81</v>
      </c>
      <c r="F50" t="s">
        <v>69</v>
      </c>
      <c r="G50" t="s">
        <v>39</v>
      </c>
      <c r="H50" t="s">
        <v>60</v>
      </c>
      <c r="I50" t="s">
        <v>49</v>
      </c>
    </row>
    <row r="51" spans="1:9" ht="28.8" x14ac:dyDescent="0.3">
      <c r="A51" s="3">
        <v>45933</v>
      </c>
      <c r="B51" t="s">
        <v>45</v>
      </c>
      <c r="C51" t="s">
        <v>36</v>
      </c>
      <c r="D51" t="s">
        <v>47</v>
      </c>
      <c r="E51" s="4" t="s">
        <v>66</v>
      </c>
      <c r="F51" t="s">
        <v>69</v>
      </c>
      <c r="G51" t="s">
        <v>39</v>
      </c>
      <c r="H51" t="s">
        <v>60</v>
      </c>
      <c r="I51" t="s">
        <v>44</v>
      </c>
    </row>
    <row r="52" spans="1:9" ht="28.8" x14ac:dyDescent="0.3">
      <c r="A52" s="3">
        <v>45861</v>
      </c>
      <c r="B52" t="s">
        <v>35</v>
      </c>
      <c r="C52" t="s">
        <v>50</v>
      </c>
      <c r="D52" t="s">
        <v>47</v>
      </c>
      <c r="E52" s="4" t="s">
        <v>54</v>
      </c>
      <c r="F52" t="s">
        <v>69</v>
      </c>
      <c r="G52" t="s">
        <v>39</v>
      </c>
      <c r="H52" t="s">
        <v>60</v>
      </c>
      <c r="I52" t="s">
        <v>44</v>
      </c>
    </row>
    <row r="53" spans="1:9" ht="28.8" x14ac:dyDescent="0.3">
      <c r="A53" s="3">
        <v>45786</v>
      </c>
      <c r="B53" t="s">
        <v>45</v>
      </c>
      <c r="C53" t="s">
        <v>46</v>
      </c>
      <c r="D53" t="s">
        <v>47</v>
      </c>
      <c r="E53" s="4" t="s">
        <v>48</v>
      </c>
      <c r="F53" t="s">
        <v>31</v>
      </c>
      <c r="G53" t="s">
        <v>32</v>
      </c>
      <c r="H53" t="s">
        <v>33</v>
      </c>
      <c r="I53" t="s">
        <v>44</v>
      </c>
    </row>
    <row r="54" spans="1:9" ht="28.8" x14ac:dyDescent="0.3">
      <c r="A54" s="3">
        <v>45985</v>
      </c>
      <c r="B54" t="s">
        <v>27</v>
      </c>
      <c r="C54" t="s">
        <v>28</v>
      </c>
      <c r="D54" t="s">
        <v>29</v>
      </c>
      <c r="E54" s="4" t="s">
        <v>30</v>
      </c>
      <c r="F54" t="s">
        <v>69</v>
      </c>
      <c r="G54" t="s">
        <v>39</v>
      </c>
      <c r="H54" t="s">
        <v>40</v>
      </c>
      <c r="I54" t="s">
        <v>59</v>
      </c>
    </row>
    <row r="55" spans="1:9" ht="43.2" x14ac:dyDescent="0.3">
      <c r="A55" s="3">
        <v>45936</v>
      </c>
      <c r="B55" t="s">
        <v>63</v>
      </c>
      <c r="C55" t="s">
        <v>50</v>
      </c>
      <c r="D55" t="s">
        <v>64</v>
      </c>
      <c r="E55" s="4" t="s">
        <v>77</v>
      </c>
      <c r="F55" t="s">
        <v>38</v>
      </c>
      <c r="G55" t="s">
        <v>32</v>
      </c>
      <c r="H55" t="s">
        <v>40</v>
      </c>
      <c r="I55" t="s">
        <v>56</v>
      </c>
    </row>
    <row r="56" spans="1:9" ht="28.8" x14ac:dyDescent="0.3">
      <c r="A56" s="3">
        <v>45672</v>
      </c>
      <c r="B56" t="s">
        <v>35</v>
      </c>
      <c r="C56" t="s">
        <v>50</v>
      </c>
      <c r="D56" t="s">
        <v>51</v>
      </c>
      <c r="E56" s="4" t="s">
        <v>52</v>
      </c>
      <c r="F56" t="s">
        <v>38</v>
      </c>
      <c r="G56" t="s">
        <v>32</v>
      </c>
      <c r="H56" t="s">
        <v>40</v>
      </c>
      <c r="I56" t="s">
        <v>44</v>
      </c>
    </row>
    <row r="57" spans="1:9" ht="28.8" x14ac:dyDescent="0.3">
      <c r="A57" s="3">
        <v>45680</v>
      </c>
      <c r="B57" t="s">
        <v>35</v>
      </c>
      <c r="C57" t="s">
        <v>46</v>
      </c>
      <c r="D57" t="s">
        <v>42</v>
      </c>
      <c r="E57" s="4" t="s">
        <v>76</v>
      </c>
      <c r="F57" t="s">
        <v>69</v>
      </c>
      <c r="G57" t="s">
        <v>39</v>
      </c>
      <c r="H57" t="s">
        <v>33</v>
      </c>
      <c r="I57" t="s">
        <v>53</v>
      </c>
    </row>
    <row r="58" spans="1:9" ht="28.8" x14ac:dyDescent="0.3">
      <c r="A58" s="3">
        <v>45940</v>
      </c>
      <c r="B58" t="s">
        <v>45</v>
      </c>
      <c r="C58" t="s">
        <v>28</v>
      </c>
      <c r="D58" t="s">
        <v>67</v>
      </c>
      <c r="E58" s="4" t="s">
        <v>80</v>
      </c>
      <c r="F58" t="s">
        <v>38</v>
      </c>
      <c r="G58" t="s">
        <v>32</v>
      </c>
      <c r="H58" t="s">
        <v>33</v>
      </c>
      <c r="I58" t="s">
        <v>53</v>
      </c>
    </row>
    <row r="59" spans="1:9" ht="28.8" x14ac:dyDescent="0.3">
      <c r="A59" s="3">
        <v>45715</v>
      </c>
      <c r="B59" t="s">
        <v>35</v>
      </c>
      <c r="C59" t="s">
        <v>50</v>
      </c>
      <c r="D59" t="s">
        <v>51</v>
      </c>
      <c r="E59" s="4" t="s">
        <v>52</v>
      </c>
      <c r="F59" t="s">
        <v>69</v>
      </c>
      <c r="G59" t="s">
        <v>39</v>
      </c>
      <c r="H59" t="s">
        <v>40</v>
      </c>
      <c r="I59" t="s">
        <v>41</v>
      </c>
    </row>
    <row r="60" spans="1:9" ht="28.8" x14ac:dyDescent="0.3">
      <c r="A60" s="3">
        <v>45847</v>
      </c>
      <c r="B60" t="s">
        <v>27</v>
      </c>
      <c r="C60" t="s">
        <v>28</v>
      </c>
      <c r="D60" t="s">
        <v>51</v>
      </c>
      <c r="E60" s="4" t="s">
        <v>72</v>
      </c>
      <c r="F60" t="s">
        <v>38</v>
      </c>
      <c r="G60" t="s">
        <v>32</v>
      </c>
      <c r="H60" t="s">
        <v>33</v>
      </c>
      <c r="I60" t="s">
        <v>41</v>
      </c>
    </row>
    <row r="61" spans="1:9" ht="28.8" x14ac:dyDescent="0.3">
      <c r="A61" s="3">
        <v>45963</v>
      </c>
      <c r="B61" t="s">
        <v>45</v>
      </c>
      <c r="C61" t="s">
        <v>28</v>
      </c>
      <c r="D61" t="s">
        <v>51</v>
      </c>
      <c r="E61" s="4" t="s">
        <v>52</v>
      </c>
      <c r="F61" t="s">
        <v>69</v>
      </c>
      <c r="G61" t="s">
        <v>39</v>
      </c>
      <c r="H61" t="s">
        <v>40</v>
      </c>
      <c r="I61" t="s">
        <v>44</v>
      </c>
    </row>
    <row r="62" spans="1:9" ht="28.8" x14ac:dyDescent="0.3">
      <c r="A62" s="3">
        <v>45685</v>
      </c>
      <c r="B62" t="s">
        <v>63</v>
      </c>
      <c r="C62" t="s">
        <v>28</v>
      </c>
      <c r="D62" t="s">
        <v>29</v>
      </c>
      <c r="E62" s="4" t="s">
        <v>75</v>
      </c>
      <c r="F62" t="s">
        <v>31</v>
      </c>
      <c r="G62" t="s">
        <v>32</v>
      </c>
      <c r="H62" t="s">
        <v>40</v>
      </c>
      <c r="I62" t="s">
        <v>44</v>
      </c>
    </row>
    <row r="63" spans="1:9" ht="28.8" x14ac:dyDescent="0.3">
      <c r="A63" s="3">
        <v>45773</v>
      </c>
      <c r="B63" t="s">
        <v>27</v>
      </c>
      <c r="C63" t="s">
        <v>46</v>
      </c>
      <c r="D63" t="s">
        <v>29</v>
      </c>
      <c r="E63" s="4" t="s">
        <v>37</v>
      </c>
      <c r="F63" t="s">
        <v>38</v>
      </c>
      <c r="G63" t="s">
        <v>39</v>
      </c>
      <c r="H63" t="s">
        <v>33</v>
      </c>
      <c r="I63" t="s">
        <v>49</v>
      </c>
    </row>
    <row r="64" spans="1:9" ht="28.8" x14ac:dyDescent="0.3">
      <c r="A64" s="3">
        <v>45980</v>
      </c>
      <c r="B64" t="s">
        <v>35</v>
      </c>
      <c r="C64" t="s">
        <v>46</v>
      </c>
      <c r="D64" t="s">
        <v>29</v>
      </c>
      <c r="E64" s="4" t="s">
        <v>75</v>
      </c>
      <c r="F64" t="s">
        <v>38</v>
      </c>
      <c r="G64" t="s">
        <v>39</v>
      </c>
      <c r="H64" t="s">
        <v>33</v>
      </c>
      <c r="I64" t="s">
        <v>56</v>
      </c>
    </row>
    <row r="65" spans="1:9" ht="28.8" x14ac:dyDescent="0.3">
      <c r="A65" s="3">
        <v>45920</v>
      </c>
      <c r="B65" t="s">
        <v>45</v>
      </c>
      <c r="C65" t="s">
        <v>46</v>
      </c>
      <c r="D65" t="s">
        <v>42</v>
      </c>
      <c r="E65" s="4" t="s">
        <v>55</v>
      </c>
      <c r="F65" t="s">
        <v>69</v>
      </c>
      <c r="G65" t="s">
        <v>39</v>
      </c>
      <c r="H65" t="s">
        <v>40</v>
      </c>
      <c r="I65" t="s">
        <v>61</v>
      </c>
    </row>
    <row r="66" spans="1:9" ht="28.8" x14ac:dyDescent="0.3">
      <c r="A66" s="3">
        <v>45957</v>
      </c>
      <c r="B66" t="s">
        <v>45</v>
      </c>
      <c r="C66" t="s">
        <v>36</v>
      </c>
      <c r="D66" t="s">
        <v>67</v>
      </c>
      <c r="E66" s="4" t="s">
        <v>68</v>
      </c>
      <c r="F66" t="s">
        <v>69</v>
      </c>
      <c r="G66" t="s">
        <v>39</v>
      </c>
      <c r="H66" t="s">
        <v>40</v>
      </c>
      <c r="I66" t="s">
        <v>41</v>
      </c>
    </row>
    <row r="67" spans="1:9" ht="28.8" x14ac:dyDescent="0.3">
      <c r="A67" s="3">
        <v>45695</v>
      </c>
      <c r="B67" t="s">
        <v>27</v>
      </c>
      <c r="C67" t="s">
        <v>50</v>
      </c>
      <c r="D67" t="s">
        <v>51</v>
      </c>
      <c r="E67" s="4" t="s">
        <v>73</v>
      </c>
      <c r="F67" t="s">
        <v>31</v>
      </c>
      <c r="G67" t="s">
        <v>32</v>
      </c>
      <c r="H67" t="s">
        <v>40</v>
      </c>
      <c r="I67" t="s">
        <v>53</v>
      </c>
    </row>
    <row r="68" spans="1:9" ht="28.8" x14ac:dyDescent="0.3">
      <c r="A68" s="3">
        <v>45790</v>
      </c>
      <c r="B68" t="s">
        <v>63</v>
      </c>
      <c r="C68" t="s">
        <v>36</v>
      </c>
      <c r="D68" t="s">
        <v>29</v>
      </c>
      <c r="E68" s="4" t="s">
        <v>30</v>
      </c>
      <c r="F68" t="s">
        <v>31</v>
      </c>
      <c r="G68" t="s">
        <v>32</v>
      </c>
      <c r="H68" t="s">
        <v>40</v>
      </c>
      <c r="I68" t="s">
        <v>49</v>
      </c>
    </row>
    <row r="69" spans="1:9" ht="28.8" x14ac:dyDescent="0.3">
      <c r="A69" s="3">
        <v>45894</v>
      </c>
      <c r="B69" t="s">
        <v>27</v>
      </c>
      <c r="C69" t="s">
        <v>46</v>
      </c>
      <c r="D69" t="s">
        <v>47</v>
      </c>
      <c r="E69" s="4" t="s">
        <v>48</v>
      </c>
      <c r="F69" t="s">
        <v>31</v>
      </c>
      <c r="G69" t="s">
        <v>32</v>
      </c>
      <c r="H69" t="s">
        <v>33</v>
      </c>
      <c r="I69" t="s">
        <v>49</v>
      </c>
    </row>
    <row r="70" spans="1:9" ht="28.8" x14ac:dyDescent="0.3">
      <c r="A70" s="3">
        <v>45864</v>
      </c>
      <c r="B70" t="s">
        <v>63</v>
      </c>
      <c r="C70" t="s">
        <v>50</v>
      </c>
      <c r="D70" t="s">
        <v>64</v>
      </c>
      <c r="E70" s="4" t="s">
        <v>81</v>
      </c>
      <c r="F70" t="s">
        <v>69</v>
      </c>
      <c r="G70" t="s">
        <v>39</v>
      </c>
      <c r="H70" t="s">
        <v>60</v>
      </c>
      <c r="I70" t="s">
        <v>34</v>
      </c>
    </row>
    <row r="71" spans="1:9" ht="28.8" x14ac:dyDescent="0.3">
      <c r="A71" s="3">
        <v>45710</v>
      </c>
      <c r="B71" t="s">
        <v>45</v>
      </c>
      <c r="C71" t="s">
        <v>36</v>
      </c>
      <c r="D71" t="s">
        <v>47</v>
      </c>
      <c r="E71" s="4" t="s">
        <v>48</v>
      </c>
      <c r="F71" t="s">
        <v>31</v>
      </c>
      <c r="G71" t="s">
        <v>32</v>
      </c>
      <c r="H71" t="s">
        <v>33</v>
      </c>
      <c r="I71" t="s">
        <v>53</v>
      </c>
    </row>
    <row r="72" spans="1:9" ht="28.8" x14ac:dyDescent="0.3">
      <c r="A72" s="3">
        <v>45746</v>
      </c>
      <c r="B72" t="s">
        <v>63</v>
      </c>
      <c r="C72" t="s">
        <v>46</v>
      </c>
      <c r="D72" t="s">
        <v>57</v>
      </c>
      <c r="E72" s="4" t="s">
        <v>62</v>
      </c>
      <c r="F72" t="s">
        <v>69</v>
      </c>
      <c r="G72" t="s">
        <v>39</v>
      </c>
      <c r="H72" t="s">
        <v>33</v>
      </c>
      <c r="I72" t="s">
        <v>49</v>
      </c>
    </row>
    <row r="73" spans="1:9" ht="28.8" x14ac:dyDescent="0.3">
      <c r="A73" s="3">
        <v>45944</v>
      </c>
      <c r="B73" t="s">
        <v>35</v>
      </c>
      <c r="C73" t="s">
        <v>28</v>
      </c>
      <c r="D73" t="s">
        <v>51</v>
      </c>
      <c r="E73" s="4" t="s">
        <v>72</v>
      </c>
      <c r="F73" t="s">
        <v>38</v>
      </c>
      <c r="G73" t="s">
        <v>32</v>
      </c>
      <c r="H73" t="s">
        <v>33</v>
      </c>
      <c r="I73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1"/>
  <sheetViews>
    <sheetView tabSelected="1" topLeftCell="A31" workbookViewId="0">
      <selection activeCell="I8" sqref="I8"/>
    </sheetView>
  </sheetViews>
  <sheetFormatPr defaultRowHeight="14.4" x14ac:dyDescent="0.3"/>
  <cols>
    <col min="1" max="1" width="12" customWidth="1"/>
    <col min="2" max="2" width="14" customWidth="1"/>
    <col min="3" max="3" width="12" customWidth="1"/>
    <col min="4" max="4" width="14" customWidth="1"/>
    <col min="5" max="7" width="16" customWidth="1"/>
    <col min="8" max="8" width="12" customWidth="1"/>
    <col min="9" max="10" width="14" customWidth="1"/>
    <col min="11" max="12" width="12" customWidth="1"/>
    <col min="13" max="13" width="34" customWidth="1"/>
  </cols>
  <sheetData>
    <row r="1" spans="1:13" ht="28.8" x14ac:dyDescent="0.3">
      <c r="A1" s="1" t="s">
        <v>18</v>
      </c>
      <c r="B1" s="1" t="s">
        <v>26</v>
      </c>
      <c r="C1" s="1" t="s">
        <v>19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</row>
    <row r="2" spans="1:13" ht="28.8" x14ac:dyDescent="0.3">
      <c r="A2" s="3">
        <v>45879</v>
      </c>
      <c r="B2" t="s">
        <v>56</v>
      </c>
      <c r="C2" t="s">
        <v>45</v>
      </c>
      <c r="D2" t="s">
        <v>92</v>
      </c>
      <c r="E2" t="s">
        <v>93</v>
      </c>
      <c r="F2" t="s">
        <v>47</v>
      </c>
      <c r="G2" t="s">
        <v>94</v>
      </c>
      <c r="H2" s="5">
        <v>0</v>
      </c>
      <c r="I2" s="6">
        <v>5326</v>
      </c>
      <c r="J2" s="6">
        <f t="shared" ref="J2:J65" si="0">H2+I2</f>
        <v>5326</v>
      </c>
      <c r="K2" s="3">
        <v>45924</v>
      </c>
      <c r="L2" t="s">
        <v>95</v>
      </c>
      <c r="M2" s="4" t="s">
        <v>96</v>
      </c>
    </row>
    <row r="3" spans="1:13" ht="28.8" x14ac:dyDescent="0.3">
      <c r="A3" s="3">
        <v>45948</v>
      </c>
      <c r="B3" t="s">
        <v>97</v>
      </c>
      <c r="C3" t="s">
        <v>27</v>
      </c>
      <c r="D3" t="s">
        <v>98</v>
      </c>
      <c r="E3" t="s">
        <v>99</v>
      </c>
      <c r="F3" t="s">
        <v>67</v>
      </c>
      <c r="G3" t="s">
        <v>100</v>
      </c>
      <c r="H3" s="5">
        <v>0</v>
      </c>
      <c r="I3" s="6">
        <v>1235</v>
      </c>
      <c r="J3" s="6">
        <f t="shared" si="0"/>
        <v>1235</v>
      </c>
      <c r="K3" s="3">
        <v>45978</v>
      </c>
      <c r="L3" t="s">
        <v>101</v>
      </c>
      <c r="M3" s="4" t="s">
        <v>96</v>
      </c>
    </row>
    <row r="4" spans="1:13" ht="28.8" x14ac:dyDescent="0.3">
      <c r="A4" s="3">
        <v>45933</v>
      </c>
      <c r="B4" t="s">
        <v>102</v>
      </c>
      <c r="C4" t="s">
        <v>27</v>
      </c>
      <c r="D4" t="s">
        <v>92</v>
      </c>
      <c r="E4" t="s">
        <v>103</v>
      </c>
      <c r="F4" t="s">
        <v>104</v>
      </c>
      <c r="G4" t="s">
        <v>105</v>
      </c>
      <c r="H4" s="5">
        <v>0</v>
      </c>
      <c r="I4" s="7">
        <v>-3540</v>
      </c>
      <c r="J4" s="7">
        <f t="shared" si="0"/>
        <v>-3540</v>
      </c>
      <c r="K4" s="3">
        <v>45978</v>
      </c>
      <c r="L4" t="s">
        <v>95</v>
      </c>
      <c r="M4" s="4" t="s">
        <v>106</v>
      </c>
    </row>
    <row r="5" spans="1:13" ht="28.8" x14ac:dyDescent="0.3">
      <c r="A5" s="3">
        <v>45700</v>
      </c>
      <c r="B5" t="s">
        <v>49</v>
      </c>
      <c r="C5" t="s">
        <v>63</v>
      </c>
      <c r="D5" t="s">
        <v>98</v>
      </c>
      <c r="E5" t="s">
        <v>93</v>
      </c>
      <c r="F5" t="s">
        <v>57</v>
      </c>
      <c r="G5" t="s">
        <v>107</v>
      </c>
      <c r="H5" s="5">
        <v>0</v>
      </c>
      <c r="I5" s="7">
        <v>7742</v>
      </c>
      <c r="J5" s="7">
        <f t="shared" si="0"/>
        <v>7742</v>
      </c>
      <c r="K5" s="3">
        <v>45721</v>
      </c>
      <c r="L5" t="s">
        <v>95</v>
      </c>
      <c r="M5" s="4" t="s">
        <v>108</v>
      </c>
    </row>
    <row r="6" spans="1:13" ht="28.8" x14ac:dyDescent="0.3">
      <c r="A6" s="3">
        <v>45806</v>
      </c>
      <c r="B6" t="s">
        <v>61</v>
      </c>
      <c r="C6" t="s">
        <v>35</v>
      </c>
      <c r="D6" t="s">
        <v>98</v>
      </c>
      <c r="E6" t="s">
        <v>109</v>
      </c>
      <c r="F6" t="s">
        <v>42</v>
      </c>
      <c r="G6" t="s">
        <v>110</v>
      </c>
      <c r="H6" s="5">
        <v>480</v>
      </c>
      <c r="I6" s="7">
        <v>-20910</v>
      </c>
      <c r="J6" s="7">
        <f t="shared" si="0"/>
        <v>-20430</v>
      </c>
      <c r="K6" s="3">
        <v>45813</v>
      </c>
      <c r="L6" t="s">
        <v>101</v>
      </c>
      <c r="M6" s="4" t="s">
        <v>106</v>
      </c>
    </row>
    <row r="7" spans="1:13" ht="28.8" x14ac:dyDescent="0.3">
      <c r="A7" s="3">
        <v>45831</v>
      </c>
      <c r="B7" t="s">
        <v>97</v>
      </c>
      <c r="C7" t="s">
        <v>63</v>
      </c>
      <c r="D7" t="s">
        <v>111</v>
      </c>
      <c r="E7" t="s">
        <v>109</v>
      </c>
      <c r="F7" t="s">
        <v>67</v>
      </c>
      <c r="G7" t="s">
        <v>105</v>
      </c>
      <c r="H7" s="5">
        <v>0</v>
      </c>
      <c r="I7" s="7">
        <v>-1347</v>
      </c>
      <c r="J7" s="7">
        <f t="shared" si="0"/>
        <v>-1347</v>
      </c>
      <c r="K7" s="3">
        <v>45845</v>
      </c>
      <c r="L7" t="s">
        <v>95</v>
      </c>
      <c r="M7" s="4" t="s">
        <v>112</v>
      </c>
    </row>
    <row r="8" spans="1:13" ht="28.8" x14ac:dyDescent="0.3">
      <c r="A8" s="3">
        <v>45933</v>
      </c>
      <c r="B8" t="s">
        <v>61</v>
      </c>
      <c r="C8" t="s">
        <v>35</v>
      </c>
      <c r="D8" t="s">
        <v>92</v>
      </c>
      <c r="E8" t="s">
        <v>113</v>
      </c>
      <c r="F8" t="s">
        <v>57</v>
      </c>
      <c r="G8" t="s">
        <v>94</v>
      </c>
      <c r="H8" s="5">
        <v>0</v>
      </c>
      <c r="I8" s="7">
        <v>-5709</v>
      </c>
      <c r="J8" s="7">
        <f t="shared" si="0"/>
        <v>-5709</v>
      </c>
      <c r="K8" s="3">
        <v>45947</v>
      </c>
      <c r="L8" t="s">
        <v>95</v>
      </c>
      <c r="M8" s="4" t="s">
        <v>106</v>
      </c>
    </row>
    <row r="9" spans="1:13" ht="28.8" x14ac:dyDescent="0.3">
      <c r="A9" s="3">
        <v>45970</v>
      </c>
      <c r="B9" t="s">
        <v>49</v>
      </c>
      <c r="C9" t="s">
        <v>35</v>
      </c>
      <c r="D9" t="s">
        <v>92</v>
      </c>
      <c r="E9" t="s">
        <v>113</v>
      </c>
      <c r="F9" t="s">
        <v>104</v>
      </c>
      <c r="G9" t="s">
        <v>94</v>
      </c>
      <c r="H9" s="5">
        <v>0</v>
      </c>
      <c r="I9" s="7">
        <v>24309</v>
      </c>
      <c r="J9" s="7">
        <f t="shared" si="0"/>
        <v>24309</v>
      </c>
      <c r="K9" s="3">
        <v>46000</v>
      </c>
      <c r="L9" t="s">
        <v>95</v>
      </c>
      <c r="M9" s="4" t="s">
        <v>96</v>
      </c>
    </row>
    <row r="10" spans="1:13" ht="28.8" x14ac:dyDescent="0.3">
      <c r="A10" s="3">
        <v>45729</v>
      </c>
      <c r="B10" t="s">
        <v>49</v>
      </c>
      <c r="C10" t="s">
        <v>45</v>
      </c>
      <c r="D10" t="s">
        <v>92</v>
      </c>
      <c r="E10" t="s">
        <v>93</v>
      </c>
      <c r="F10" t="s">
        <v>104</v>
      </c>
      <c r="G10" t="s">
        <v>110</v>
      </c>
      <c r="H10" s="5">
        <v>1838</v>
      </c>
      <c r="I10" s="7">
        <v>26805</v>
      </c>
      <c r="J10" s="7">
        <f t="shared" si="0"/>
        <v>28643</v>
      </c>
      <c r="K10" s="3">
        <v>45736</v>
      </c>
      <c r="L10" t="s">
        <v>101</v>
      </c>
      <c r="M10" s="4" t="s">
        <v>106</v>
      </c>
    </row>
    <row r="11" spans="1:13" ht="28.8" x14ac:dyDescent="0.3">
      <c r="A11" s="3">
        <v>45873</v>
      </c>
      <c r="B11" t="s">
        <v>102</v>
      </c>
      <c r="C11" t="s">
        <v>63</v>
      </c>
      <c r="D11" t="s">
        <v>92</v>
      </c>
      <c r="E11" t="s">
        <v>93</v>
      </c>
      <c r="F11" t="s">
        <v>104</v>
      </c>
      <c r="G11" t="s">
        <v>105</v>
      </c>
      <c r="H11" s="5">
        <v>0</v>
      </c>
      <c r="I11" s="7">
        <v>-3007</v>
      </c>
      <c r="J11" s="7">
        <f t="shared" si="0"/>
        <v>-3007</v>
      </c>
      <c r="K11" s="3">
        <v>45880</v>
      </c>
      <c r="L11" t="s">
        <v>95</v>
      </c>
      <c r="M11" s="4" t="s">
        <v>108</v>
      </c>
    </row>
    <row r="12" spans="1:13" ht="28.8" x14ac:dyDescent="0.3">
      <c r="A12" s="3">
        <v>45889</v>
      </c>
      <c r="B12" t="s">
        <v>34</v>
      </c>
      <c r="C12" t="s">
        <v>35</v>
      </c>
      <c r="D12" t="s">
        <v>92</v>
      </c>
      <c r="E12" t="s">
        <v>109</v>
      </c>
      <c r="F12" t="s">
        <v>57</v>
      </c>
      <c r="G12" t="s">
        <v>105</v>
      </c>
      <c r="H12" s="5">
        <v>0</v>
      </c>
      <c r="I12" s="7">
        <v>38991</v>
      </c>
      <c r="J12" s="7">
        <f t="shared" si="0"/>
        <v>38991</v>
      </c>
      <c r="K12" s="3">
        <v>45910</v>
      </c>
      <c r="L12" t="s">
        <v>101</v>
      </c>
      <c r="M12" s="4" t="s">
        <v>114</v>
      </c>
    </row>
    <row r="13" spans="1:13" ht="28.8" x14ac:dyDescent="0.3">
      <c r="A13" s="3">
        <v>45761</v>
      </c>
      <c r="B13" t="s">
        <v>49</v>
      </c>
      <c r="C13" t="s">
        <v>45</v>
      </c>
      <c r="D13" t="s">
        <v>92</v>
      </c>
      <c r="E13" t="s">
        <v>99</v>
      </c>
      <c r="F13" t="s">
        <v>115</v>
      </c>
      <c r="G13" t="s">
        <v>116</v>
      </c>
      <c r="H13" s="5">
        <v>999</v>
      </c>
      <c r="I13" s="7">
        <v>-14159</v>
      </c>
      <c r="J13" s="7">
        <f t="shared" si="0"/>
        <v>-13160</v>
      </c>
      <c r="K13" s="3">
        <v>45768</v>
      </c>
      <c r="L13" t="s">
        <v>95</v>
      </c>
      <c r="M13" s="4" t="s">
        <v>106</v>
      </c>
    </row>
    <row r="14" spans="1:13" ht="28.8" x14ac:dyDescent="0.3">
      <c r="A14" s="3">
        <v>45807</v>
      </c>
      <c r="B14" t="s">
        <v>59</v>
      </c>
      <c r="C14" t="s">
        <v>35</v>
      </c>
      <c r="D14" t="s">
        <v>98</v>
      </c>
      <c r="E14" t="s">
        <v>109</v>
      </c>
      <c r="F14" t="s">
        <v>115</v>
      </c>
      <c r="G14" t="s">
        <v>100</v>
      </c>
      <c r="H14" s="5">
        <v>1706</v>
      </c>
      <c r="I14" s="7">
        <v>-4082</v>
      </c>
      <c r="J14" s="7">
        <f t="shared" si="0"/>
        <v>-2376</v>
      </c>
      <c r="K14" s="3">
        <v>45814</v>
      </c>
      <c r="L14" t="s">
        <v>101</v>
      </c>
      <c r="M14" s="4" t="s">
        <v>112</v>
      </c>
    </row>
    <row r="15" spans="1:13" ht="28.8" x14ac:dyDescent="0.3">
      <c r="A15" s="3">
        <v>45823</v>
      </c>
      <c r="B15" t="s">
        <v>49</v>
      </c>
      <c r="C15" t="s">
        <v>45</v>
      </c>
      <c r="D15" t="s">
        <v>92</v>
      </c>
      <c r="E15" t="s">
        <v>99</v>
      </c>
      <c r="F15" t="s">
        <v>57</v>
      </c>
      <c r="G15" t="s">
        <v>116</v>
      </c>
      <c r="H15" s="5">
        <v>396</v>
      </c>
      <c r="I15" s="7">
        <v>4301</v>
      </c>
      <c r="J15" s="7">
        <f t="shared" si="0"/>
        <v>4697</v>
      </c>
      <c r="K15" s="3">
        <v>45844</v>
      </c>
      <c r="L15" t="s">
        <v>101</v>
      </c>
      <c r="M15" s="4" t="s">
        <v>112</v>
      </c>
    </row>
    <row r="16" spans="1:13" ht="28.8" x14ac:dyDescent="0.3">
      <c r="A16" s="3">
        <v>45770</v>
      </c>
      <c r="B16" t="s">
        <v>56</v>
      </c>
      <c r="C16" t="s">
        <v>45</v>
      </c>
      <c r="D16" t="s">
        <v>111</v>
      </c>
      <c r="E16" t="s">
        <v>113</v>
      </c>
      <c r="F16" t="s">
        <v>47</v>
      </c>
      <c r="G16" t="s">
        <v>116</v>
      </c>
      <c r="H16" s="5">
        <v>2104</v>
      </c>
      <c r="I16" s="7">
        <v>15647</v>
      </c>
      <c r="J16" s="7">
        <f t="shared" si="0"/>
        <v>17751</v>
      </c>
      <c r="K16" s="3">
        <v>45784</v>
      </c>
      <c r="L16" t="s">
        <v>101</v>
      </c>
      <c r="M16" s="4" t="s">
        <v>112</v>
      </c>
    </row>
    <row r="17" spans="1:13" ht="28.8" x14ac:dyDescent="0.3">
      <c r="A17" s="3">
        <v>45910</v>
      </c>
      <c r="B17" t="s">
        <v>102</v>
      </c>
      <c r="C17" t="s">
        <v>45</v>
      </c>
      <c r="D17" t="s">
        <v>92</v>
      </c>
      <c r="E17" t="s">
        <v>109</v>
      </c>
      <c r="F17" t="s">
        <v>104</v>
      </c>
      <c r="G17" t="s">
        <v>116</v>
      </c>
      <c r="H17" s="5">
        <v>2774</v>
      </c>
      <c r="I17" s="7">
        <v>-3403</v>
      </c>
      <c r="J17" s="7">
        <f t="shared" si="0"/>
        <v>-629</v>
      </c>
      <c r="K17" s="3">
        <v>45924</v>
      </c>
      <c r="L17" t="s">
        <v>95</v>
      </c>
      <c r="M17" s="4" t="s">
        <v>108</v>
      </c>
    </row>
    <row r="18" spans="1:13" ht="28.8" x14ac:dyDescent="0.3">
      <c r="A18" s="3">
        <v>45667</v>
      </c>
      <c r="B18" t="s">
        <v>102</v>
      </c>
      <c r="C18" t="s">
        <v>63</v>
      </c>
      <c r="D18" t="s">
        <v>92</v>
      </c>
      <c r="E18" t="s">
        <v>93</v>
      </c>
      <c r="F18" t="s">
        <v>47</v>
      </c>
      <c r="G18" t="s">
        <v>110</v>
      </c>
      <c r="H18" s="5">
        <v>2073</v>
      </c>
      <c r="I18" s="7">
        <v>-1537</v>
      </c>
      <c r="J18" s="7">
        <f t="shared" si="0"/>
        <v>536</v>
      </c>
      <c r="K18" s="3">
        <v>45681</v>
      </c>
      <c r="L18" t="s">
        <v>95</v>
      </c>
      <c r="M18" s="4" t="s">
        <v>114</v>
      </c>
    </row>
    <row r="19" spans="1:13" ht="28.8" x14ac:dyDescent="0.3">
      <c r="A19" s="3">
        <v>45700</v>
      </c>
      <c r="B19" t="s">
        <v>56</v>
      </c>
      <c r="C19" t="s">
        <v>27</v>
      </c>
      <c r="D19" t="s">
        <v>98</v>
      </c>
      <c r="E19" t="s">
        <v>109</v>
      </c>
      <c r="F19" t="s">
        <v>42</v>
      </c>
      <c r="G19" t="s">
        <v>116</v>
      </c>
      <c r="H19" s="5">
        <v>2843</v>
      </c>
      <c r="I19" s="7">
        <v>2369</v>
      </c>
      <c r="J19" s="7">
        <f t="shared" si="0"/>
        <v>5212</v>
      </c>
      <c r="K19" s="3">
        <v>45721</v>
      </c>
      <c r="L19" t="s">
        <v>95</v>
      </c>
      <c r="M19" s="4" t="s">
        <v>96</v>
      </c>
    </row>
    <row r="20" spans="1:13" ht="28.8" x14ac:dyDescent="0.3">
      <c r="A20" s="3">
        <v>45891</v>
      </c>
      <c r="B20" t="s">
        <v>49</v>
      </c>
      <c r="C20" t="s">
        <v>45</v>
      </c>
      <c r="D20" t="s">
        <v>92</v>
      </c>
      <c r="E20" t="s">
        <v>99</v>
      </c>
      <c r="F20" t="s">
        <v>104</v>
      </c>
      <c r="G20" t="s">
        <v>105</v>
      </c>
      <c r="H20" s="5">
        <v>0</v>
      </c>
      <c r="I20" s="7">
        <v>16810</v>
      </c>
      <c r="J20" s="7">
        <f t="shared" si="0"/>
        <v>16810</v>
      </c>
      <c r="K20" s="3">
        <v>45921</v>
      </c>
      <c r="L20" t="s">
        <v>101</v>
      </c>
      <c r="M20" s="4" t="s">
        <v>108</v>
      </c>
    </row>
    <row r="21" spans="1:13" ht="28.8" x14ac:dyDescent="0.3">
      <c r="A21" s="3">
        <v>45678</v>
      </c>
      <c r="B21" t="s">
        <v>59</v>
      </c>
      <c r="C21" t="s">
        <v>35</v>
      </c>
      <c r="D21" t="s">
        <v>92</v>
      </c>
      <c r="E21" t="s">
        <v>109</v>
      </c>
      <c r="F21" t="s">
        <v>47</v>
      </c>
      <c r="G21" t="s">
        <v>116</v>
      </c>
      <c r="H21" s="5">
        <v>705</v>
      </c>
      <c r="I21" s="7">
        <v>-6163</v>
      </c>
      <c r="J21" s="7">
        <f t="shared" si="0"/>
        <v>-5458</v>
      </c>
      <c r="K21" s="3">
        <v>45708</v>
      </c>
      <c r="L21" t="s">
        <v>95</v>
      </c>
      <c r="M21" s="4" t="s">
        <v>114</v>
      </c>
    </row>
    <row r="22" spans="1:13" ht="28.8" x14ac:dyDescent="0.3">
      <c r="A22" s="3">
        <v>45724</v>
      </c>
      <c r="B22" t="s">
        <v>34</v>
      </c>
      <c r="C22" t="s">
        <v>63</v>
      </c>
      <c r="D22" t="s">
        <v>92</v>
      </c>
      <c r="E22" t="s">
        <v>113</v>
      </c>
      <c r="F22" t="s">
        <v>57</v>
      </c>
      <c r="G22" t="s">
        <v>116</v>
      </c>
      <c r="H22" s="5">
        <v>2354</v>
      </c>
      <c r="I22" s="7">
        <v>-120</v>
      </c>
      <c r="J22" s="7">
        <f t="shared" si="0"/>
        <v>2234</v>
      </c>
      <c r="K22" s="3">
        <v>45754</v>
      </c>
      <c r="L22" t="s">
        <v>95</v>
      </c>
      <c r="M22" s="4" t="s">
        <v>96</v>
      </c>
    </row>
    <row r="23" spans="1:13" ht="28.8" x14ac:dyDescent="0.3">
      <c r="A23" s="3">
        <v>45981</v>
      </c>
      <c r="B23" t="s">
        <v>34</v>
      </c>
      <c r="C23" t="s">
        <v>35</v>
      </c>
      <c r="D23" t="s">
        <v>98</v>
      </c>
      <c r="E23" t="s">
        <v>103</v>
      </c>
      <c r="F23" t="s">
        <v>57</v>
      </c>
      <c r="G23" t="s">
        <v>107</v>
      </c>
      <c r="H23" s="5">
        <v>0</v>
      </c>
      <c r="I23" s="7">
        <v>-11152</v>
      </c>
      <c r="J23" s="7">
        <f t="shared" si="0"/>
        <v>-11152</v>
      </c>
      <c r="K23" s="3">
        <v>46026</v>
      </c>
      <c r="L23" t="s">
        <v>101</v>
      </c>
      <c r="M23" s="4" t="s">
        <v>108</v>
      </c>
    </row>
    <row r="24" spans="1:13" ht="28.8" x14ac:dyDescent="0.3">
      <c r="A24" s="3">
        <v>45965</v>
      </c>
      <c r="B24" t="s">
        <v>41</v>
      </c>
      <c r="C24" t="s">
        <v>35</v>
      </c>
      <c r="D24" t="s">
        <v>92</v>
      </c>
      <c r="E24" t="s">
        <v>113</v>
      </c>
      <c r="F24" t="s">
        <v>57</v>
      </c>
      <c r="G24" t="s">
        <v>107</v>
      </c>
      <c r="H24" s="5">
        <v>0</v>
      </c>
      <c r="I24" s="7">
        <v>-14700</v>
      </c>
      <c r="J24" s="7">
        <f t="shared" si="0"/>
        <v>-14700</v>
      </c>
      <c r="K24" s="3">
        <v>45995</v>
      </c>
      <c r="L24" t="s">
        <v>101</v>
      </c>
      <c r="M24" s="4" t="s">
        <v>112</v>
      </c>
    </row>
    <row r="25" spans="1:13" ht="28.8" x14ac:dyDescent="0.3">
      <c r="A25" s="3">
        <v>45925</v>
      </c>
      <c r="B25" t="s">
        <v>97</v>
      </c>
      <c r="C25" t="s">
        <v>27</v>
      </c>
      <c r="D25" t="s">
        <v>92</v>
      </c>
      <c r="E25" t="s">
        <v>109</v>
      </c>
      <c r="F25" t="s">
        <v>67</v>
      </c>
      <c r="G25" t="s">
        <v>110</v>
      </c>
      <c r="H25" s="5">
        <v>2523</v>
      </c>
      <c r="I25" s="7">
        <v>-20664</v>
      </c>
      <c r="J25" s="7">
        <f t="shared" si="0"/>
        <v>-18141</v>
      </c>
      <c r="K25" s="3">
        <v>45970</v>
      </c>
      <c r="L25" t="s">
        <v>101</v>
      </c>
      <c r="M25" s="4" t="s">
        <v>96</v>
      </c>
    </row>
    <row r="26" spans="1:13" ht="28.8" x14ac:dyDescent="0.3">
      <c r="A26" s="3">
        <v>45715</v>
      </c>
      <c r="B26" t="s">
        <v>44</v>
      </c>
      <c r="C26" t="s">
        <v>63</v>
      </c>
      <c r="D26" t="s">
        <v>92</v>
      </c>
      <c r="E26" t="s">
        <v>93</v>
      </c>
      <c r="F26" t="s">
        <v>57</v>
      </c>
      <c r="G26" t="s">
        <v>100</v>
      </c>
      <c r="H26" s="5">
        <v>0</v>
      </c>
      <c r="I26" s="7">
        <v>-9319</v>
      </c>
      <c r="J26" s="7">
        <f t="shared" si="0"/>
        <v>-9319</v>
      </c>
      <c r="K26" s="3">
        <v>45729</v>
      </c>
      <c r="L26" t="s">
        <v>95</v>
      </c>
      <c r="M26" s="4" t="s">
        <v>96</v>
      </c>
    </row>
    <row r="27" spans="1:13" ht="28.8" x14ac:dyDescent="0.3">
      <c r="A27" s="3">
        <v>45898</v>
      </c>
      <c r="B27" t="s">
        <v>97</v>
      </c>
      <c r="C27" t="s">
        <v>27</v>
      </c>
      <c r="D27" t="s">
        <v>98</v>
      </c>
      <c r="E27" t="s">
        <v>103</v>
      </c>
      <c r="F27" t="s">
        <v>115</v>
      </c>
      <c r="G27" t="s">
        <v>107</v>
      </c>
      <c r="H27" s="5">
        <v>353</v>
      </c>
      <c r="I27" s="7">
        <v>-27684</v>
      </c>
      <c r="J27" s="7">
        <f t="shared" si="0"/>
        <v>-27331</v>
      </c>
      <c r="K27" s="3">
        <v>45928</v>
      </c>
      <c r="L27" t="s">
        <v>95</v>
      </c>
      <c r="M27" s="4" t="s">
        <v>108</v>
      </c>
    </row>
    <row r="28" spans="1:13" ht="28.8" x14ac:dyDescent="0.3">
      <c r="A28" s="3">
        <v>45965</v>
      </c>
      <c r="B28" t="s">
        <v>34</v>
      </c>
      <c r="C28" t="s">
        <v>35</v>
      </c>
      <c r="D28" t="s">
        <v>92</v>
      </c>
      <c r="E28" t="s">
        <v>99</v>
      </c>
      <c r="F28" t="s">
        <v>57</v>
      </c>
      <c r="G28" t="s">
        <v>116</v>
      </c>
      <c r="H28" s="5">
        <v>2774</v>
      </c>
      <c r="I28" s="8">
        <v>-38940</v>
      </c>
      <c r="J28" s="7">
        <f t="shared" si="0"/>
        <v>-36166</v>
      </c>
      <c r="K28" s="3">
        <v>45972</v>
      </c>
      <c r="L28" t="s">
        <v>101</v>
      </c>
      <c r="M28" s="4" t="s">
        <v>96</v>
      </c>
    </row>
    <row r="29" spans="1:13" ht="28.8" x14ac:dyDescent="0.3">
      <c r="A29" s="3">
        <v>45745</v>
      </c>
      <c r="B29" t="s">
        <v>102</v>
      </c>
      <c r="C29" t="s">
        <v>35</v>
      </c>
      <c r="D29" t="s">
        <v>92</v>
      </c>
      <c r="E29" t="s">
        <v>113</v>
      </c>
      <c r="F29" t="s">
        <v>104</v>
      </c>
      <c r="G29" t="s">
        <v>105</v>
      </c>
      <c r="H29" s="5">
        <v>0</v>
      </c>
      <c r="I29" s="7">
        <v>24788</v>
      </c>
      <c r="J29" s="7">
        <f t="shared" si="0"/>
        <v>24788</v>
      </c>
      <c r="K29" s="3">
        <v>45759</v>
      </c>
      <c r="L29" t="s">
        <v>95</v>
      </c>
      <c r="M29" s="4" t="s">
        <v>106</v>
      </c>
    </row>
    <row r="30" spans="1:13" ht="28.8" x14ac:dyDescent="0.3">
      <c r="A30" s="3">
        <v>45913</v>
      </c>
      <c r="B30" t="s">
        <v>97</v>
      </c>
      <c r="C30" t="s">
        <v>45</v>
      </c>
      <c r="D30" t="s">
        <v>92</v>
      </c>
      <c r="E30" t="s">
        <v>109</v>
      </c>
      <c r="F30" t="s">
        <v>47</v>
      </c>
      <c r="G30" t="s">
        <v>110</v>
      </c>
      <c r="H30" s="5">
        <v>2293</v>
      </c>
      <c r="I30" s="7">
        <v>23436</v>
      </c>
      <c r="J30" s="7">
        <f t="shared" si="0"/>
        <v>25729</v>
      </c>
      <c r="K30" s="3">
        <v>45927</v>
      </c>
      <c r="L30" t="s">
        <v>101</v>
      </c>
      <c r="M30" s="4" t="s">
        <v>108</v>
      </c>
    </row>
    <row r="31" spans="1:13" ht="28.8" x14ac:dyDescent="0.3">
      <c r="A31" s="3">
        <v>45742</v>
      </c>
      <c r="B31" t="s">
        <v>102</v>
      </c>
      <c r="C31" t="s">
        <v>63</v>
      </c>
      <c r="D31" t="s">
        <v>98</v>
      </c>
      <c r="E31" t="s">
        <v>109</v>
      </c>
      <c r="F31" t="s">
        <v>47</v>
      </c>
      <c r="G31" t="s">
        <v>110</v>
      </c>
      <c r="H31" s="5">
        <v>0</v>
      </c>
      <c r="I31" s="7">
        <v>4025</v>
      </c>
      <c r="J31" s="7">
        <f t="shared" si="0"/>
        <v>4025</v>
      </c>
      <c r="K31" s="3">
        <v>45787</v>
      </c>
      <c r="L31" t="s">
        <v>101</v>
      </c>
      <c r="M31" s="4" t="s">
        <v>108</v>
      </c>
    </row>
    <row r="32" spans="1:13" ht="28.8" x14ac:dyDescent="0.3">
      <c r="A32" s="3">
        <v>45834</v>
      </c>
      <c r="B32" t="s">
        <v>41</v>
      </c>
      <c r="C32" t="s">
        <v>27</v>
      </c>
      <c r="D32" t="s">
        <v>98</v>
      </c>
      <c r="E32" t="s">
        <v>103</v>
      </c>
      <c r="F32" t="s">
        <v>42</v>
      </c>
      <c r="G32" t="s">
        <v>107</v>
      </c>
      <c r="H32" s="5">
        <v>0</v>
      </c>
      <c r="I32" s="7">
        <v>-7019</v>
      </c>
      <c r="J32" s="7">
        <f t="shared" si="0"/>
        <v>-7019</v>
      </c>
      <c r="K32" s="3">
        <v>45841</v>
      </c>
      <c r="L32" t="s">
        <v>101</v>
      </c>
      <c r="M32" s="4" t="s">
        <v>106</v>
      </c>
    </row>
    <row r="33" spans="1:13" ht="28.8" x14ac:dyDescent="0.3">
      <c r="A33" s="3">
        <v>45887</v>
      </c>
      <c r="B33" t="s">
        <v>56</v>
      </c>
      <c r="C33" t="s">
        <v>35</v>
      </c>
      <c r="D33" t="s">
        <v>92</v>
      </c>
      <c r="E33" t="s">
        <v>113</v>
      </c>
      <c r="F33" t="s">
        <v>47</v>
      </c>
      <c r="G33" t="s">
        <v>105</v>
      </c>
      <c r="H33" s="5">
        <v>0</v>
      </c>
      <c r="I33" s="7">
        <v>-12074</v>
      </c>
      <c r="J33" s="7">
        <f t="shared" si="0"/>
        <v>-12074</v>
      </c>
      <c r="K33" s="3">
        <v>45917</v>
      </c>
      <c r="L33" t="s">
        <v>101</v>
      </c>
      <c r="M33" s="4" t="s">
        <v>96</v>
      </c>
    </row>
    <row r="34" spans="1:13" ht="28.8" x14ac:dyDescent="0.3">
      <c r="A34" s="3">
        <v>45843</v>
      </c>
      <c r="B34" t="s">
        <v>34</v>
      </c>
      <c r="C34" t="s">
        <v>45</v>
      </c>
      <c r="D34" t="s">
        <v>98</v>
      </c>
      <c r="E34" t="s">
        <v>109</v>
      </c>
      <c r="F34" t="s">
        <v>67</v>
      </c>
      <c r="G34" t="s">
        <v>116</v>
      </c>
      <c r="H34" s="5">
        <v>1505</v>
      </c>
      <c r="I34" s="7">
        <v>32448</v>
      </c>
      <c r="J34" s="7">
        <f t="shared" si="0"/>
        <v>33953</v>
      </c>
      <c r="K34" s="3">
        <v>45864</v>
      </c>
      <c r="L34" t="s">
        <v>95</v>
      </c>
      <c r="M34" s="4" t="s">
        <v>112</v>
      </c>
    </row>
    <row r="35" spans="1:13" ht="28.8" x14ac:dyDescent="0.3">
      <c r="A35" s="3">
        <v>45731</v>
      </c>
      <c r="B35" t="s">
        <v>44</v>
      </c>
      <c r="C35" t="s">
        <v>35</v>
      </c>
      <c r="D35" t="s">
        <v>111</v>
      </c>
      <c r="E35" t="s">
        <v>93</v>
      </c>
      <c r="F35" t="s">
        <v>57</v>
      </c>
      <c r="G35" t="s">
        <v>110</v>
      </c>
      <c r="H35" s="5">
        <v>2402</v>
      </c>
      <c r="I35" s="7">
        <v>-18029</v>
      </c>
      <c r="J35" s="7">
        <f t="shared" si="0"/>
        <v>-15627</v>
      </c>
      <c r="K35" s="3">
        <v>45738</v>
      </c>
      <c r="L35" t="s">
        <v>95</v>
      </c>
      <c r="M35" s="4" t="s">
        <v>112</v>
      </c>
    </row>
    <row r="36" spans="1:13" ht="28.8" x14ac:dyDescent="0.3">
      <c r="A36" s="3">
        <v>45816</v>
      </c>
      <c r="B36" t="s">
        <v>44</v>
      </c>
      <c r="C36" t="s">
        <v>45</v>
      </c>
      <c r="D36" t="s">
        <v>92</v>
      </c>
      <c r="E36" t="s">
        <v>103</v>
      </c>
      <c r="F36" t="s">
        <v>57</v>
      </c>
      <c r="G36" t="s">
        <v>110</v>
      </c>
      <c r="H36" s="5">
        <v>1538</v>
      </c>
      <c r="I36" s="7">
        <v>-6933</v>
      </c>
      <c r="J36" s="7">
        <f t="shared" si="0"/>
        <v>-5395</v>
      </c>
      <c r="K36" s="3">
        <v>45861</v>
      </c>
      <c r="L36" t="s">
        <v>95</v>
      </c>
      <c r="M36" s="4" t="s">
        <v>114</v>
      </c>
    </row>
    <row r="37" spans="1:13" ht="28.8" x14ac:dyDescent="0.3">
      <c r="A37" s="3">
        <v>45864</v>
      </c>
      <c r="B37" t="s">
        <v>41</v>
      </c>
      <c r="C37" t="s">
        <v>27</v>
      </c>
      <c r="D37" t="s">
        <v>92</v>
      </c>
      <c r="E37" t="s">
        <v>113</v>
      </c>
      <c r="F37" t="s">
        <v>67</v>
      </c>
      <c r="G37" t="s">
        <v>100</v>
      </c>
      <c r="H37" s="5">
        <v>0</v>
      </c>
      <c r="I37" s="7">
        <v>-26190</v>
      </c>
      <c r="J37" s="7">
        <f t="shared" si="0"/>
        <v>-26190</v>
      </c>
      <c r="K37" s="3">
        <v>45894</v>
      </c>
      <c r="L37" t="s">
        <v>95</v>
      </c>
      <c r="M37" s="4" t="s">
        <v>106</v>
      </c>
    </row>
    <row r="38" spans="1:13" ht="28.8" x14ac:dyDescent="0.3">
      <c r="A38" s="3">
        <v>45971</v>
      </c>
      <c r="B38" t="s">
        <v>61</v>
      </c>
      <c r="C38" t="s">
        <v>45</v>
      </c>
      <c r="D38" t="s">
        <v>92</v>
      </c>
      <c r="E38" t="s">
        <v>113</v>
      </c>
      <c r="F38" t="s">
        <v>67</v>
      </c>
      <c r="G38" t="s">
        <v>116</v>
      </c>
      <c r="H38" s="5">
        <v>2918</v>
      </c>
      <c r="I38" s="7">
        <v>-11209</v>
      </c>
      <c r="J38" s="7">
        <f t="shared" si="0"/>
        <v>-8291</v>
      </c>
      <c r="K38" s="3">
        <v>45992</v>
      </c>
      <c r="L38" t="s">
        <v>95</v>
      </c>
      <c r="M38" s="4" t="s">
        <v>96</v>
      </c>
    </row>
    <row r="39" spans="1:13" ht="28.8" x14ac:dyDescent="0.3">
      <c r="A39" s="3">
        <v>45763</v>
      </c>
      <c r="B39" t="s">
        <v>34</v>
      </c>
      <c r="C39" t="s">
        <v>35</v>
      </c>
      <c r="D39" t="s">
        <v>98</v>
      </c>
      <c r="E39" t="s">
        <v>99</v>
      </c>
      <c r="F39" t="s">
        <v>115</v>
      </c>
      <c r="G39" t="s">
        <v>100</v>
      </c>
      <c r="H39" s="5">
        <v>0</v>
      </c>
      <c r="I39" s="7">
        <v>8194</v>
      </c>
      <c r="J39" s="7">
        <f t="shared" si="0"/>
        <v>8194</v>
      </c>
      <c r="K39" s="3">
        <v>45808</v>
      </c>
      <c r="L39" t="s">
        <v>101</v>
      </c>
      <c r="M39" s="4" t="s">
        <v>108</v>
      </c>
    </row>
    <row r="40" spans="1:13" ht="28.8" x14ac:dyDescent="0.3">
      <c r="A40" s="3">
        <v>45687</v>
      </c>
      <c r="B40" t="s">
        <v>97</v>
      </c>
      <c r="C40" t="s">
        <v>35</v>
      </c>
      <c r="D40" t="s">
        <v>111</v>
      </c>
      <c r="E40" t="s">
        <v>93</v>
      </c>
      <c r="F40" t="s">
        <v>42</v>
      </c>
      <c r="G40" t="s">
        <v>100</v>
      </c>
      <c r="H40" s="5">
        <v>0</v>
      </c>
      <c r="I40" s="7">
        <v>-9908</v>
      </c>
      <c r="J40" s="7">
        <f t="shared" si="0"/>
        <v>-9908</v>
      </c>
      <c r="K40" s="3">
        <v>45701</v>
      </c>
      <c r="L40" t="s">
        <v>101</v>
      </c>
      <c r="M40" s="4" t="s">
        <v>114</v>
      </c>
    </row>
    <row r="41" spans="1:13" ht="28.8" x14ac:dyDescent="0.3">
      <c r="A41" s="3">
        <v>45952</v>
      </c>
      <c r="B41" t="s">
        <v>61</v>
      </c>
      <c r="C41" t="s">
        <v>27</v>
      </c>
      <c r="D41" t="s">
        <v>92</v>
      </c>
      <c r="E41" t="s">
        <v>99</v>
      </c>
      <c r="F41" t="s">
        <v>104</v>
      </c>
      <c r="G41" t="s">
        <v>105</v>
      </c>
      <c r="H41" s="5">
        <v>0</v>
      </c>
      <c r="I41" s="7">
        <v>17969</v>
      </c>
      <c r="J41" s="7">
        <f t="shared" si="0"/>
        <v>17969</v>
      </c>
      <c r="K41" s="3">
        <v>45973</v>
      </c>
      <c r="L41" t="s">
        <v>95</v>
      </c>
      <c r="M41" s="4" t="s">
        <v>106</v>
      </c>
    </row>
    <row r="42" spans="1:13" ht="28.8" x14ac:dyDescent="0.3">
      <c r="A42" s="3">
        <v>45881</v>
      </c>
      <c r="B42" t="s">
        <v>41</v>
      </c>
      <c r="C42" t="s">
        <v>35</v>
      </c>
      <c r="D42" t="s">
        <v>98</v>
      </c>
      <c r="E42" t="s">
        <v>93</v>
      </c>
      <c r="F42" t="s">
        <v>67</v>
      </c>
      <c r="G42" t="s">
        <v>107</v>
      </c>
      <c r="H42" s="5">
        <v>2318</v>
      </c>
      <c r="I42" s="7">
        <v>3156</v>
      </c>
      <c r="J42" s="7">
        <f t="shared" si="0"/>
        <v>5474</v>
      </c>
      <c r="K42" s="3">
        <v>45888</v>
      </c>
      <c r="L42" t="s">
        <v>95</v>
      </c>
      <c r="M42" s="4" t="s">
        <v>108</v>
      </c>
    </row>
    <row r="43" spans="1:13" ht="28.8" x14ac:dyDescent="0.3">
      <c r="A43" s="3">
        <v>45730</v>
      </c>
      <c r="B43" t="s">
        <v>59</v>
      </c>
      <c r="C43" t="s">
        <v>63</v>
      </c>
      <c r="D43" t="s">
        <v>92</v>
      </c>
      <c r="E43" t="s">
        <v>93</v>
      </c>
      <c r="F43" t="s">
        <v>47</v>
      </c>
      <c r="G43" t="s">
        <v>107</v>
      </c>
      <c r="H43" s="5">
        <v>0</v>
      </c>
      <c r="I43" s="7">
        <v>-2249</v>
      </c>
      <c r="J43" s="7">
        <f t="shared" si="0"/>
        <v>-2249</v>
      </c>
      <c r="K43" s="3">
        <v>45737</v>
      </c>
      <c r="L43" t="s">
        <v>95</v>
      </c>
      <c r="M43" s="4" t="s">
        <v>96</v>
      </c>
    </row>
    <row r="44" spans="1:13" ht="28.8" x14ac:dyDescent="0.3">
      <c r="A44" s="3">
        <v>45978</v>
      </c>
      <c r="B44" t="s">
        <v>102</v>
      </c>
      <c r="C44" t="s">
        <v>27</v>
      </c>
      <c r="D44" t="s">
        <v>92</v>
      </c>
      <c r="E44" t="s">
        <v>99</v>
      </c>
      <c r="F44" t="s">
        <v>115</v>
      </c>
      <c r="G44" t="s">
        <v>105</v>
      </c>
      <c r="H44" s="5">
        <v>2362</v>
      </c>
      <c r="I44" s="7">
        <v>-8780</v>
      </c>
      <c r="J44" s="7">
        <f t="shared" si="0"/>
        <v>-6418</v>
      </c>
      <c r="K44" s="3">
        <v>46008</v>
      </c>
      <c r="L44" t="s">
        <v>95</v>
      </c>
      <c r="M44" s="4" t="s">
        <v>108</v>
      </c>
    </row>
    <row r="45" spans="1:13" ht="28.8" x14ac:dyDescent="0.3">
      <c r="A45" s="3">
        <v>45734</v>
      </c>
      <c r="B45" t="s">
        <v>102</v>
      </c>
      <c r="C45" t="s">
        <v>35</v>
      </c>
      <c r="D45" t="s">
        <v>98</v>
      </c>
      <c r="E45" t="s">
        <v>109</v>
      </c>
      <c r="F45" t="s">
        <v>104</v>
      </c>
      <c r="G45" t="s">
        <v>116</v>
      </c>
      <c r="H45" s="5">
        <v>742</v>
      </c>
      <c r="I45" s="7">
        <v>-514</v>
      </c>
      <c r="J45" s="7">
        <f t="shared" si="0"/>
        <v>228</v>
      </c>
      <c r="K45" s="3">
        <v>45748</v>
      </c>
      <c r="L45" t="s">
        <v>101</v>
      </c>
      <c r="M45" s="4" t="s">
        <v>108</v>
      </c>
    </row>
    <row r="46" spans="1:13" ht="28.8" x14ac:dyDescent="0.3">
      <c r="A46" s="3">
        <v>45890</v>
      </c>
      <c r="B46" t="s">
        <v>49</v>
      </c>
      <c r="C46" t="s">
        <v>35</v>
      </c>
      <c r="D46" t="s">
        <v>92</v>
      </c>
      <c r="E46" t="s">
        <v>113</v>
      </c>
      <c r="F46" t="s">
        <v>115</v>
      </c>
      <c r="G46" t="s">
        <v>116</v>
      </c>
      <c r="H46" s="5">
        <v>2165</v>
      </c>
      <c r="I46" s="7">
        <v>5062</v>
      </c>
      <c r="J46" s="7">
        <f t="shared" si="0"/>
        <v>7227</v>
      </c>
      <c r="K46" s="3">
        <v>45935</v>
      </c>
      <c r="L46" t="s">
        <v>95</v>
      </c>
      <c r="M46" s="4" t="s">
        <v>108</v>
      </c>
    </row>
    <row r="47" spans="1:13" ht="28.8" x14ac:dyDescent="0.3">
      <c r="A47" s="3">
        <v>45758</v>
      </c>
      <c r="B47" t="s">
        <v>59</v>
      </c>
      <c r="C47" t="s">
        <v>63</v>
      </c>
      <c r="D47" t="s">
        <v>111</v>
      </c>
      <c r="E47" t="s">
        <v>103</v>
      </c>
      <c r="F47" t="s">
        <v>57</v>
      </c>
      <c r="G47" t="s">
        <v>94</v>
      </c>
      <c r="H47" s="5">
        <v>0</v>
      </c>
      <c r="I47" s="7">
        <v>-11215</v>
      </c>
      <c r="J47" s="7">
        <f t="shared" si="0"/>
        <v>-11215</v>
      </c>
      <c r="K47" s="3">
        <v>45772</v>
      </c>
      <c r="L47" t="s">
        <v>95</v>
      </c>
      <c r="M47" s="4" t="s">
        <v>106</v>
      </c>
    </row>
    <row r="48" spans="1:13" ht="28.8" x14ac:dyDescent="0.3">
      <c r="A48" s="3">
        <v>45905</v>
      </c>
      <c r="B48" t="s">
        <v>97</v>
      </c>
      <c r="C48" t="s">
        <v>63</v>
      </c>
      <c r="D48" t="s">
        <v>98</v>
      </c>
      <c r="E48" t="s">
        <v>113</v>
      </c>
      <c r="F48" t="s">
        <v>67</v>
      </c>
      <c r="G48" t="s">
        <v>94</v>
      </c>
      <c r="H48" s="5">
        <v>0</v>
      </c>
      <c r="I48" s="7">
        <v>-7896</v>
      </c>
      <c r="J48" s="7">
        <f t="shared" si="0"/>
        <v>-7896</v>
      </c>
      <c r="K48" s="3">
        <v>45912</v>
      </c>
      <c r="L48" t="s">
        <v>101</v>
      </c>
      <c r="M48" s="4" t="s">
        <v>114</v>
      </c>
    </row>
    <row r="49" spans="1:13" ht="28.8" x14ac:dyDescent="0.3">
      <c r="A49" s="3">
        <v>45756</v>
      </c>
      <c r="B49" t="s">
        <v>34</v>
      </c>
      <c r="C49" t="s">
        <v>63</v>
      </c>
      <c r="D49" t="s">
        <v>111</v>
      </c>
      <c r="E49" t="s">
        <v>109</v>
      </c>
      <c r="F49" t="s">
        <v>104</v>
      </c>
      <c r="G49" t="s">
        <v>100</v>
      </c>
      <c r="H49" s="5">
        <v>0</v>
      </c>
      <c r="I49" s="7">
        <v>20935</v>
      </c>
      <c r="J49" s="7">
        <f t="shared" si="0"/>
        <v>20935</v>
      </c>
      <c r="K49" s="3">
        <v>45786</v>
      </c>
      <c r="L49" t="s">
        <v>95</v>
      </c>
      <c r="M49" s="4" t="s">
        <v>114</v>
      </c>
    </row>
    <row r="50" spans="1:13" ht="28.8" x14ac:dyDescent="0.3">
      <c r="A50" s="3">
        <v>45935</v>
      </c>
      <c r="B50" t="s">
        <v>102</v>
      </c>
      <c r="C50" t="s">
        <v>45</v>
      </c>
      <c r="D50" t="s">
        <v>98</v>
      </c>
      <c r="E50" t="s">
        <v>99</v>
      </c>
      <c r="F50" t="s">
        <v>67</v>
      </c>
      <c r="G50" t="s">
        <v>100</v>
      </c>
      <c r="H50" s="5">
        <v>0</v>
      </c>
      <c r="I50" s="7">
        <v>-17569</v>
      </c>
      <c r="J50" s="7">
        <f t="shared" si="0"/>
        <v>-17569</v>
      </c>
      <c r="K50" s="3">
        <v>45965</v>
      </c>
      <c r="L50" t="s">
        <v>95</v>
      </c>
      <c r="M50" s="4" t="s">
        <v>112</v>
      </c>
    </row>
    <row r="51" spans="1:13" ht="28.8" x14ac:dyDescent="0.3">
      <c r="A51" s="3">
        <v>45664</v>
      </c>
      <c r="B51" t="s">
        <v>97</v>
      </c>
      <c r="C51" t="s">
        <v>35</v>
      </c>
      <c r="D51" t="s">
        <v>98</v>
      </c>
      <c r="E51" t="s">
        <v>109</v>
      </c>
      <c r="F51" t="s">
        <v>67</v>
      </c>
      <c r="G51" t="s">
        <v>94</v>
      </c>
      <c r="H51" s="5">
        <v>1465</v>
      </c>
      <c r="I51" s="7">
        <v>-21280</v>
      </c>
      <c r="J51" s="7">
        <f t="shared" si="0"/>
        <v>-19815</v>
      </c>
      <c r="K51" s="3">
        <v>45678</v>
      </c>
      <c r="L51" t="s">
        <v>101</v>
      </c>
      <c r="M51" s="4" t="s">
        <v>108</v>
      </c>
    </row>
    <row r="52" spans="1:13" ht="28.8" x14ac:dyDescent="0.3">
      <c r="A52" s="3">
        <v>45987</v>
      </c>
      <c r="B52" t="s">
        <v>61</v>
      </c>
      <c r="C52" t="s">
        <v>27</v>
      </c>
      <c r="D52" t="s">
        <v>98</v>
      </c>
      <c r="E52" t="s">
        <v>113</v>
      </c>
      <c r="F52" t="s">
        <v>42</v>
      </c>
      <c r="G52" t="s">
        <v>100</v>
      </c>
      <c r="H52" s="5">
        <v>0</v>
      </c>
      <c r="I52" s="7">
        <v>-172</v>
      </c>
      <c r="J52" s="7">
        <f t="shared" si="0"/>
        <v>-172</v>
      </c>
      <c r="K52" s="3">
        <v>46017</v>
      </c>
      <c r="L52" t="s">
        <v>95</v>
      </c>
      <c r="M52" s="4" t="s">
        <v>96</v>
      </c>
    </row>
    <row r="53" spans="1:13" ht="28.8" x14ac:dyDescent="0.3">
      <c r="A53" s="3">
        <v>45852</v>
      </c>
      <c r="B53" t="s">
        <v>56</v>
      </c>
      <c r="C53" t="s">
        <v>63</v>
      </c>
      <c r="D53" t="s">
        <v>98</v>
      </c>
      <c r="E53" t="s">
        <v>99</v>
      </c>
      <c r="F53" t="s">
        <v>67</v>
      </c>
      <c r="G53" t="s">
        <v>105</v>
      </c>
      <c r="H53" s="5">
        <v>837</v>
      </c>
      <c r="I53" s="7">
        <v>-8477</v>
      </c>
      <c r="J53" s="7">
        <f t="shared" si="0"/>
        <v>-7640</v>
      </c>
      <c r="K53" s="3">
        <v>45897</v>
      </c>
      <c r="L53" t="s">
        <v>101</v>
      </c>
      <c r="M53" s="4" t="s">
        <v>108</v>
      </c>
    </row>
    <row r="54" spans="1:13" ht="28.8" x14ac:dyDescent="0.3">
      <c r="A54" s="3">
        <v>45903</v>
      </c>
      <c r="B54" t="s">
        <v>49</v>
      </c>
      <c r="C54" t="s">
        <v>63</v>
      </c>
      <c r="D54" t="s">
        <v>111</v>
      </c>
      <c r="E54" t="s">
        <v>93</v>
      </c>
      <c r="F54" t="s">
        <v>42</v>
      </c>
      <c r="G54" t="s">
        <v>110</v>
      </c>
      <c r="H54" s="5">
        <v>1836</v>
      </c>
      <c r="I54" s="7">
        <v>8785</v>
      </c>
      <c r="J54" s="7">
        <f t="shared" si="0"/>
        <v>10621</v>
      </c>
      <c r="K54" s="3">
        <v>45933</v>
      </c>
      <c r="L54" t="s">
        <v>101</v>
      </c>
      <c r="M54" s="4" t="s">
        <v>96</v>
      </c>
    </row>
    <row r="55" spans="1:13" ht="28.8" x14ac:dyDescent="0.3">
      <c r="A55" s="3">
        <v>45713</v>
      </c>
      <c r="B55" t="s">
        <v>41</v>
      </c>
      <c r="C55" t="s">
        <v>45</v>
      </c>
      <c r="D55" t="s">
        <v>98</v>
      </c>
      <c r="E55" t="s">
        <v>113</v>
      </c>
      <c r="F55" t="s">
        <v>115</v>
      </c>
      <c r="G55" t="s">
        <v>107</v>
      </c>
      <c r="H55" s="5">
        <v>0</v>
      </c>
      <c r="I55" s="7">
        <v>-4463</v>
      </c>
      <c r="J55" s="7">
        <f t="shared" si="0"/>
        <v>-4463</v>
      </c>
      <c r="K55" s="3">
        <v>45720</v>
      </c>
      <c r="L55" t="s">
        <v>101</v>
      </c>
      <c r="M55" s="4" t="s">
        <v>96</v>
      </c>
    </row>
    <row r="56" spans="1:13" ht="28.8" x14ac:dyDescent="0.3">
      <c r="A56" s="3">
        <v>45739</v>
      </c>
      <c r="B56" t="s">
        <v>102</v>
      </c>
      <c r="C56" t="s">
        <v>45</v>
      </c>
      <c r="D56" t="s">
        <v>92</v>
      </c>
      <c r="E56" t="s">
        <v>109</v>
      </c>
      <c r="F56" t="s">
        <v>104</v>
      </c>
      <c r="G56" t="s">
        <v>94</v>
      </c>
      <c r="H56" s="5">
        <v>0</v>
      </c>
      <c r="I56" s="7">
        <v>33553</v>
      </c>
      <c r="J56" s="7">
        <f t="shared" si="0"/>
        <v>33553</v>
      </c>
      <c r="K56" s="3">
        <v>45753</v>
      </c>
      <c r="L56" t="s">
        <v>95</v>
      </c>
      <c r="M56" s="4" t="s">
        <v>106</v>
      </c>
    </row>
    <row r="57" spans="1:13" ht="28.8" x14ac:dyDescent="0.3">
      <c r="A57" s="3">
        <v>45883</v>
      </c>
      <c r="B57" t="s">
        <v>34</v>
      </c>
      <c r="C57" t="s">
        <v>35</v>
      </c>
      <c r="D57" t="s">
        <v>98</v>
      </c>
      <c r="E57" t="s">
        <v>113</v>
      </c>
      <c r="F57" t="s">
        <v>57</v>
      </c>
      <c r="G57" t="s">
        <v>116</v>
      </c>
      <c r="H57" s="5">
        <v>0</v>
      </c>
      <c r="I57" s="7">
        <v>-22349</v>
      </c>
      <c r="J57" s="7">
        <f t="shared" si="0"/>
        <v>-22349</v>
      </c>
      <c r="K57" s="3">
        <v>45904</v>
      </c>
      <c r="L57" t="s">
        <v>95</v>
      </c>
      <c r="M57" s="4" t="s">
        <v>114</v>
      </c>
    </row>
    <row r="58" spans="1:13" ht="28.8" x14ac:dyDescent="0.3">
      <c r="A58" s="3">
        <v>45685</v>
      </c>
      <c r="B58" t="s">
        <v>49</v>
      </c>
      <c r="C58" t="s">
        <v>35</v>
      </c>
      <c r="D58" t="s">
        <v>98</v>
      </c>
      <c r="E58" t="s">
        <v>109</v>
      </c>
      <c r="F58" t="s">
        <v>47</v>
      </c>
      <c r="G58" t="s">
        <v>94</v>
      </c>
      <c r="H58" s="5">
        <v>0</v>
      </c>
      <c r="I58" s="7">
        <v>2287</v>
      </c>
      <c r="J58" s="7">
        <f t="shared" si="0"/>
        <v>2287</v>
      </c>
      <c r="K58" s="3">
        <v>45715</v>
      </c>
      <c r="L58" t="s">
        <v>95</v>
      </c>
      <c r="M58" s="4" t="s">
        <v>106</v>
      </c>
    </row>
    <row r="59" spans="1:13" ht="28.8" x14ac:dyDescent="0.3">
      <c r="A59" s="3">
        <v>45816</v>
      </c>
      <c r="B59" t="s">
        <v>44</v>
      </c>
      <c r="C59" t="s">
        <v>35</v>
      </c>
      <c r="D59" t="s">
        <v>92</v>
      </c>
      <c r="E59" t="s">
        <v>93</v>
      </c>
      <c r="F59" t="s">
        <v>57</v>
      </c>
      <c r="G59" t="s">
        <v>105</v>
      </c>
      <c r="H59" s="5">
        <v>0</v>
      </c>
      <c r="I59" s="7">
        <v>-5321</v>
      </c>
      <c r="J59" s="7">
        <f t="shared" si="0"/>
        <v>-5321</v>
      </c>
      <c r="K59" s="3">
        <v>45823</v>
      </c>
      <c r="L59" t="s">
        <v>101</v>
      </c>
      <c r="M59" s="4" t="s">
        <v>112</v>
      </c>
    </row>
    <row r="60" spans="1:13" ht="28.8" x14ac:dyDescent="0.3">
      <c r="A60" s="3">
        <v>45903</v>
      </c>
      <c r="B60" t="s">
        <v>102</v>
      </c>
      <c r="C60" t="s">
        <v>45</v>
      </c>
      <c r="D60" t="s">
        <v>92</v>
      </c>
      <c r="E60" t="s">
        <v>113</v>
      </c>
      <c r="F60" t="s">
        <v>104</v>
      </c>
      <c r="G60" t="s">
        <v>116</v>
      </c>
      <c r="H60" s="5">
        <v>145</v>
      </c>
      <c r="I60" s="7">
        <v>26251</v>
      </c>
      <c r="J60" s="7">
        <f t="shared" si="0"/>
        <v>26396</v>
      </c>
      <c r="K60" s="3">
        <v>45924</v>
      </c>
      <c r="L60" t="s">
        <v>95</v>
      </c>
      <c r="M60" s="4" t="s">
        <v>96</v>
      </c>
    </row>
    <row r="61" spans="1:13" ht="28.8" x14ac:dyDescent="0.3">
      <c r="A61" s="3">
        <v>45825</v>
      </c>
      <c r="B61" t="s">
        <v>56</v>
      </c>
      <c r="C61" t="s">
        <v>63</v>
      </c>
      <c r="D61" t="s">
        <v>92</v>
      </c>
      <c r="E61" t="s">
        <v>113</v>
      </c>
      <c r="F61" t="s">
        <v>42</v>
      </c>
      <c r="G61" t="s">
        <v>100</v>
      </c>
      <c r="H61" s="5">
        <v>0</v>
      </c>
      <c r="I61" s="7">
        <v>-26489</v>
      </c>
      <c r="J61" s="7">
        <f t="shared" si="0"/>
        <v>-26489</v>
      </c>
      <c r="K61" s="3">
        <v>45832</v>
      </c>
      <c r="L61" t="s">
        <v>95</v>
      </c>
      <c r="M61" s="4" t="s">
        <v>112</v>
      </c>
    </row>
    <row r="62" spans="1:13" ht="28.8" x14ac:dyDescent="0.3">
      <c r="A62" s="3">
        <v>45795</v>
      </c>
      <c r="B62" t="s">
        <v>34</v>
      </c>
      <c r="C62" t="s">
        <v>45</v>
      </c>
      <c r="D62" t="s">
        <v>98</v>
      </c>
      <c r="E62" t="s">
        <v>93</v>
      </c>
      <c r="F62" t="s">
        <v>42</v>
      </c>
      <c r="G62" t="s">
        <v>94</v>
      </c>
      <c r="H62" s="5">
        <v>0</v>
      </c>
      <c r="I62" s="7">
        <v>16689</v>
      </c>
      <c r="J62" s="7">
        <f t="shared" si="0"/>
        <v>16689</v>
      </c>
      <c r="K62" s="3">
        <v>45802</v>
      </c>
      <c r="L62" t="s">
        <v>95</v>
      </c>
      <c r="M62" s="4" t="s">
        <v>114</v>
      </c>
    </row>
    <row r="63" spans="1:13" ht="28.8" x14ac:dyDescent="0.3">
      <c r="A63" s="3">
        <v>45781</v>
      </c>
      <c r="B63" t="s">
        <v>56</v>
      </c>
      <c r="C63" t="s">
        <v>63</v>
      </c>
      <c r="D63" t="s">
        <v>111</v>
      </c>
      <c r="E63" t="s">
        <v>93</v>
      </c>
      <c r="F63" t="s">
        <v>104</v>
      </c>
      <c r="G63" t="s">
        <v>116</v>
      </c>
      <c r="H63" s="5">
        <v>1257</v>
      </c>
      <c r="I63" s="7">
        <v>4993</v>
      </c>
      <c r="J63" s="7">
        <f t="shared" si="0"/>
        <v>6250</v>
      </c>
      <c r="K63" s="3">
        <v>45826</v>
      </c>
      <c r="L63" t="s">
        <v>95</v>
      </c>
      <c r="M63" s="4" t="s">
        <v>112</v>
      </c>
    </row>
    <row r="64" spans="1:13" ht="28.8" x14ac:dyDescent="0.3">
      <c r="A64" s="3">
        <v>45800</v>
      </c>
      <c r="B64" t="s">
        <v>34</v>
      </c>
      <c r="C64" t="s">
        <v>45</v>
      </c>
      <c r="D64" t="s">
        <v>111</v>
      </c>
      <c r="E64" t="s">
        <v>109</v>
      </c>
      <c r="F64" t="s">
        <v>115</v>
      </c>
      <c r="G64" t="s">
        <v>110</v>
      </c>
      <c r="H64" s="5">
        <v>319</v>
      </c>
      <c r="I64" s="7">
        <v>-4631</v>
      </c>
      <c r="J64" s="7">
        <f t="shared" si="0"/>
        <v>-4312</v>
      </c>
      <c r="K64" s="3">
        <v>45814</v>
      </c>
      <c r="L64" t="s">
        <v>101</v>
      </c>
      <c r="M64" s="4" t="s">
        <v>108</v>
      </c>
    </row>
    <row r="65" spans="1:13" ht="28.8" x14ac:dyDescent="0.3">
      <c r="A65" s="3">
        <v>45806</v>
      </c>
      <c r="B65" t="s">
        <v>61</v>
      </c>
      <c r="C65" t="s">
        <v>27</v>
      </c>
      <c r="D65" t="s">
        <v>111</v>
      </c>
      <c r="E65" t="s">
        <v>113</v>
      </c>
      <c r="F65" t="s">
        <v>57</v>
      </c>
      <c r="G65" t="s">
        <v>105</v>
      </c>
      <c r="H65" s="5">
        <v>0</v>
      </c>
      <c r="I65" s="7">
        <v>10829</v>
      </c>
      <c r="J65" s="7">
        <f t="shared" si="0"/>
        <v>10829</v>
      </c>
      <c r="K65" s="3">
        <v>45820</v>
      </c>
      <c r="L65" t="s">
        <v>101</v>
      </c>
      <c r="M65" s="4" t="s">
        <v>114</v>
      </c>
    </row>
    <row r="66" spans="1:13" ht="28.8" x14ac:dyDescent="0.3">
      <c r="A66" s="3">
        <v>45892</v>
      </c>
      <c r="B66" t="s">
        <v>97</v>
      </c>
      <c r="C66" t="s">
        <v>27</v>
      </c>
      <c r="D66" t="s">
        <v>98</v>
      </c>
      <c r="E66" t="s">
        <v>113</v>
      </c>
      <c r="F66" t="s">
        <v>42</v>
      </c>
      <c r="G66" t="s">
        <v>107</v>
      </c>
      <c r="H66" s="5">
        <v>0</v>
      </c>
      <c r="I66" s="7">
        <v>19193</v>
      </c>
      <c r="J66" s="7">
        <f t="shared" ref="J66:J129" si="1">H66+I66</f>
        <v>19193</v>
      </c>
      <c r="K66" s="3">
        <v>45937</v>
      </c>
      <c r="L66" t="s">
        <v>95</v>
      </c>
      <c r="M66" s="4" t="s">
        <v>96</v>
      </c>
    </row>
    <row r="67" spans="1:13" ht="28.8" x14ac:dyDescent="0.3">
      <c r="A67" s="3">
        <v>45809</v>
      </c>
      <c r="B67" t="s">
        <v>59</v>
      </c>
      <c r="C67" t="s">
        <v>63</v>
      </c>
      <c r="D67" t="s">
        <v>98</v>
      </c>
      <c r="E67" t="s">
        <v>93</v>
      </c>
      <c r="F67" t="s">
        <v>115</v>
      </c>
      <c r="G67" t="s">
        <v>100</v>
      </c>
      <c r="H67" s="5">
        <v>0</v>
      </c>
      <c r="I67" s="7">
        <v>11819</v>
      </c>
      <c r="J67" s="7">
        <f t="shared" si="1"/>
        <v>11819</v>
      </c>
      <c r="K67" s="3">
        <v>45830</v>
      </c>
      <c r="L67" t="s">
        <v>95</v>
      </c>
      <c r="M67" s="4" t="s">
        <v>106</v>
      </c>
    </row>
    <row r="68" spans="1:13" ht="28.8" x14ac:dyDescent="0.3">
      <c r="A68" s="3">
        <v>45923</v>
      </c>
      <c r="B68" t="s">
        <v>34</v>
      </c>
      <c r="C68" t="s">
        <v>27</v>
      </c>
      <c r="D68" t="s">
        <v>92</v>
      </c>
      <c r="E68" t="s">
        <v>99</v>
      </c>
      <c r="F68" t="s">
        <v>57</v>
      </c>
      <c r="G68" t="s">
        <v>110</v>
      </c>
      <c r="H68" s="5">
        <v>1407</v>
      </c>
      <c r="I68" s="7">
        <v>2633</v>
      </c>
      <c r="J68" s="7">
        <f t="shared" si="1"/>
        <v>4040</v>
      </c>
      <c r="K68" s="3">
        <v>45953</v>
      </c>
      <c r="L68" t="s">
        <v>95</v>
      </c>
      <c r="M68" s="4" t="s">
        <v>114</v>
      </c>
    </row>
    <row r="69" spans="1:13" ht="28.8" x14ac:dyDescent="0.3">
      <c r="A69" s="3">
        <v>45905</v>
      </c>
      <c r="B69" t="s">
        <v>97</v>
      </c>
      <c r="C69" t="s">
        <v>27</v>
      </c>
      <c r="D69" t="s">
        <v>111</v>
      </c>
      <c r="E69" t="s">
        <v>109</v>
      </c>
      <c r="F69" t="s">
        <v>57</v>
      </c>
      <c r="G69" t="s">
        <v>116</v>
      </c>
      <c r="H69" s="5">
        <v>387</v>
      </c>
      <c r="I69" s="7">
        <v>14988</v>
      </c>
      <c r="J69" s="7">
        <f t="shared" si="1"/>
        <v>15375</v>
      </c>
      <c r="K69" s="3">
        <v>45926</v>
      </c>
      <c r="L69" t="s">
        <v>95</v>
      </c>
      <c r="M69" s="4" t="s">
        <v>106</v>
      </c>
    </row>
    <row r="70" spans="1:13" ht="28.8" x14ac:dyDescent="0.3">
      <c r="A70" s="3">
        <v>45695</v>
      </c>
      <c r="B70" t="s">
        <v>49</v>
      </c>
      <c r="C70" t="s">
        <v>35</v>
      </c>
      <c r="D70" t="s">
        <v>92</v>
      </c>
      <c r="E70" t="s">
        <v>113</v>
      </c>
      <c r="F70" t="s">
        <v>67</v>
      </c>
      <c r="G70" t="s">
        <v>94</v>
      </c>
      <c r="H70" s="5">
        <v>1253</v>
      </c>
      <c r="I70" s="7">
        <v>-14730</v>
      </c>
      <c r="J70" s="7">
        <f t="shared" si="1"/>
        <v>-13477</v>
      </c>
      <c r="K70" s="3">
        <v>45702</v>
      </c>
      <c r="L70" t="s">
        <v>95</v>
      </c>
      <c r="M70" s="4" t="s">
        <v>112</v>
      </c>
    </row>
    <row r="71" spans="1:13" ht="28.8" x14ac:dyDescent="0.3">
      <c r="A71" s="3">
        <v>45679</v>
      </c>
      <c r="B71" t="s">
        <v>59</v>
      </c>
      <c r="C71" t="s">
        <v>63</v>
      </c>
      <c r="D71" t="s">
        <v>111</v>
      </c>
      <c r="E71" t="s">
        <v>99</v>
      </c>
      <c r="F71" t="s">
        <v>67</v>
      </c>
      <c r="G71" t="s">
        <v>94</v>
      </c>
      <c r="H71" s="5">
        <v>0</v>
      </c>
      <c r="I71" s="7">
        <v>23213</v>
      </c>
      <c r="J71" s="7">
        <f t="shared" si="1"/>
        <v>23213</v>
      </c>
      <c r="K71" s="3">
        <v>45693</v>
      </c>
      <c r="L71" t="s">
        <v>95</v>
      </c>
      <c r="M71" s="4" t="s">
        <v>108</v>
      </c>
    </row>
    <row r="72" spans="1:13" ht="28.8" x14ac:dyDescent="0.3">
      <c r="A72" s="3">
        <v>45913</v>
      </c>
      <c r="B72" t="s">
        <v>49</v>
      </c>
      <c r="C72" t="s">
        <v>63</v>
      </c>
      <c r="D72" t="s">
        <v>92</v>
      </c>
      <c r="E72" t="s">
        <v>93</v>
      </c>
      <c r="F72" t="s">
        <v>57</v>
      </c>
      <c r="G72" t="s">
        <v>94</v>
      </c>
      <c r="H72" s="5">
        <v>0</v>
      </c>
      <c r="I72" s="7">
        <v>-13938</v>
      </c>
      <c r="J72" s="7">
        <f t="shared" si="1"/>
        <v>-13938</v>
      </c>
      <c r="K72" s="3">
        <v>45934</v>
      </c>
      <c r="L72" t="s">
        <v>101</v>
      </c>
      <c r="M72" s="4" t="s">
        <v>96</v>
      </c>
    </row>
    <row r="73" spans="1:13" ht="28.8" x14ac:dyDescent="0.3">
      <c r="A73" s="3">
        <v>45907</v>
      </c>
      <c r="B73" t="s">
        <v>49</v>
      </c>
      <c r="C73" t="s">
        <v>27</v>
      </c>
      <c r="D73" t="s">
        <v>111</v>
      </c>
      <c r="E73" t="s">
        <v>109</v>
      </c>
      <c r="F73" t="s">
        <v>104</v>
      </c>
      <c r="G73" t="s">
        <v>116</v>
      </c>
      <c r="H73" s="5">
        <v>3556</v>
      </c>
      <c r="I73" s="7">
        <v>-30336</v>
      </c>
      <c r="J73" s="7">
        <f t="shared" si="1"/>
        <v>-26780</v>
      </c>
      <c r="K73" s="3">
        <v>45921</v>
      </c>
      <c r="L73" t="s">
        <v>95</v>
      </c>
      <c r="M73" s="4" t="s">
        <v>114</v>
      </c>
    </row>
    <row r="74" spans="1:13" ht="28.8" x14ac:dyDescent="0.3">
      <c r="A74" s="3">
        <v>45882</v>
      </c>
      <c r="B74" t="s">
        <v>59</v>
      </c>
      <c r="C74" t="s">
        <v>35</v>
      </c>
      <c r="D74" t="s">
        <v>92</v>
      </c>
      <c r="E74" t="s">
        <v>99</v>
      </c>
      <c r="F74" t="s">
        <v>42</v>
      </c>
      <c r="G74" t="s">
        <v>105</v>
      </c>
      <c r="H74" s="5">
        <v>0</v>
      </c>
      <c r="I74" s="7">
        <v>-10119</v>
      </c>
      <c r="J74" s="7">
        <f t="shared" si="1"/>
        <v>-10119</v>
      </c>
      <c r="K74" s="3">
        <v>45889</v>
      </c>
      <c r="L74" t="s">
        <v>101</v>
      </c>
      <c r="M74" s="4" t="s">
        <v>112</v>
      </c>
    </row>
    <row r="75" spans="1:13" ht="28.8" x14ac:dyDescent="0.3">
      <c r="A75" s="3">
        <v>45924</v>
      </c>
      <c r="B75" t="s">
        <v>41</v>
      </c>
      <c r="C75" t="s">
        <v>35</v>
      </c>
      <c r="D75" t="s">
        <v>98</v>
      </c>
      <c r="E75" t="s">
        <v>103</v>
      </c>
      <c r="F75" t="s">
        <v>42</v>
      </c>
      <c r="G75" t="s">
        <v>100</v>
      </c>
      <c r="H75" s="5">
        <v>0</v>
      </c>
      <c r="I75" s="7">
        <v>-1891</v>
      </c>
      <c r="J75" s="7">
        <f t="shared" si="1"/>
        <v>-1891</v>
      </c>
      <c r="K75" s="3">
        <v>45945</v>
      </c>
      <c r="L75" t="s">
        <v>95</v>
      </c>
      <c r="M75" s="4" t="s">
        <v>106</v>
      </c>
    </row>
    <row r="76" spans="1:13" ht="28.8" x14ac:dyDescent="0.3">
      <c r="A76" s="3">
        <v>45914</v>
      </c>
      <c r="B76" t="s">
        <v>53</v>
      </c>
      <c r="C76" t="s">
        <v>63</v>
      </c>
      <c r="D76" t="s">
        <v>98</v>
      </c>
      <c r="E76" t="s">
        <v>109</v>
      </c>
      <c r="F76" t="s">
        <v>47</v>
      </c>
      <c r="G76" t="s">
        <v>100</v>
      </c>
      <c r="H76" s="5">
        <v>0</v>
      </c>
      <c r="I76" s="7">
        <v>181</v>
      </c>
      <c r="J76" s="7">
        <f t="shared" si="1"/>
        <v>181</v>
      </c>
      <c r="K76" s="3">
        <v>45921</v>
      </c>
      <c r="L76" t="s">
        <v>95</v>
      </c>
      <c r="M76" s="4" t="s">
        <v>96</v>
      </c>
    </row>
    <row r="77" spans="1:13" ht="28.8" x14ac:dyDescent="0.3">
      <c r="A77" s="3">
        <v>45859</v>
      </c>
      <c r="B77" t="s">
        <v>59</v>
      </c>
      <c r="C77" t="s">
        <v>27</v>
      </c>
      <c r="D77" t="s">
        <v>92</v>
      </c>
      <c r="E77" t="s">
        <v>93</v>
      </c>
      <c r="F77" t="s">
        <v>115</v>
      </c>
      <c r="G77" t="s">
        <v>100</v>
      </c>
      <c r="H77" s="5">
        <v>682</v>
      </c>
      <c r="I77" s="7">
        <v>-12592</v>
      </c>
      <c r="J77" s="7">
        <f t="shared" si="1"/>
        <v>-11910</v>
      </c>
      <c r="K77" s="3">
        <v>45904</v>
      </c>
      <c r="L77" t="s">
        <v>95</v>
      </c>
      <c r="M77" s="4" t="s">
        <v>96</v>
      </c>
    </row>
    <row r="78" spans="1:13" ht="28.8" x14ac:dyDescent="0.3">
      <c r="A78" s="3">
        <v>45738</v>
      </c>
      <c r="B78" t="s">
        <v>61</v>
      </c>
      <c r="C78" t="s">
        <v>35</v>
      </c>
      <c r="D78" t="s">
        <v>92</v>
      </c>
      <c r="E78" t="s">
        <v>99</v>
      </c>
      <c r="F78" t="s">
        <v>104</v>
      </c>
      <c r="G78" t="s">
        <v>100</v>
      </c>
      <c r="H78" s="5">
        <v>0</v>
      </c>
      <c r="I78" s="7">
        <v>6106</v>
      </c>
      <c r="J78" s="7">
        <f t="shared" si="1"/>
        <v>6106</v>
      </c>
      <c r="K78" s="3">
        <v>45768</v>
      </c>
      <c r="L78" t="s">
        <v>101</v>
      </c>
      <c r="M78" s="4" t="s">
        <v>112</v>
      </c>
    </row>
    <row r="79" spans="1:13" ht="28.8" x14ac:dyDescent="0.3">
      <c r="A79" s="3">
        <v>45825</v>
      </c>
      <c r="B79" t="s">
        <v>41</v>
      </c>
      <c r="C79" t="s">
        <v>27</v>
      </c>
      <c r="D79" t="s">
        <v>92</v>
      </c>
      <c r="E79" t="s">
        <v>99</v>
      </c>
      <c r="F79" t="s">
        <v>115</v>
      </c>
      <c r="G79" t="s">
        <v>94</v>
      </c>
      <c r="H79" s="5">
        <v>0</v>
      </c>
      <c r="I79" s="7">
        <v>17167</v>
      </c>
      <c r="J79" s="7">
        <f t="shared" si="1"/>
        <v>17167</v>
      </c>
      <c r="K79" s="3">
        <v>45855</v>
      </c>
      <c r="L79" t="s">
        <v>95</v>
      </c>
      <c r="M79" s="4" t="s">
        <v>114</v>
      </c>
    </row>
    <row r="80" spans="1:13" ht="28.8" x14ac:dyDescent="0.3">
      <c r="A80" s="3">
        <v>45739</v>
      </c>
      <c r="B80" t="s">
        <v>41</v>
      </c>
      <c r="C80" t="s">
        <v>45</v>
      </c>
      <c r="D80" t="s">
        <v>92</v>
      </c>
      <c r="E80" t="s">
        <v>93</v>
      </c>
      <c r="F80" t="s">
        <v>57</v>
      </c>
      <c r="G80" t="s">
        <v>94</v>
      </c>
      <c r="H80" s="5">
        <v>0</v>
      </c>
      <c r="I80" s="7">
        <v>3802</v>
      </c>
      <c r="J80" s="7">
        <f t="shared" si="1"/>
        <v>3802</v>
      </c>
      <c r="K80" s="3">
        <v>45769</v>
      </c>
      <c r="L80" t="s">
        <v>95</v>
      </c>
      <c r="M80" s="4" t="s">
        <v>106</v>
      </c>
    </row>
    <row r="81" spans="1:13" ht="28.8" x14ac:dyDescent="0.3">
      <c r="A81" s="3">
        <v>45878</v>
      </c>
      <c r="B81" t="s">
        <v>41</v>
      </c>
      <c r="C81" t="s">
        <v>35</v>
      </c>
      <c r="D81" t="s">
        <v>111</v>
      </c>
      <c r="E81" t="s">
        <v>93</v>
      </c>
      <c r="F81" t="s">
        <v>67</v>
      </c>
      <c r="G81" t="s">
        <v>94</v>
      </c>
      <c r="H81" s="5">
        <v>0</v>
      </c>
      <c r="I81" s="7">
        <v>-2361</v>
      </c>
      <c r="J81" s="7">
        <f t="shared" si="1"/>
        <v>-2361</v>
      </c>
      <c r="K81" s="3">
        <v>45908</v>
      </c>
      <c r="L81" t="s">
        <v>95</v>
      </c>
      <c r="M81" s="4" t="s">
        <v>96</v>
      </c>
    </row>
    <row r="82" spans="1:13" ht="28.8" x14ac:dyDescent="0.3">
      <c r="A82" s="3">
        <v>45702</v>
      </c>
      <c r="B82" t="s">
        <v>102</v>
      </c>
      <c r="C82" t="s">
        <v>35</v>
      </c>
      <c r="D82" t="s">
        <v>92</v>
      </c>
      <c r="E82" t="s">
        <v>109</v>
      </c>
      <c r="F82" t="s">
        <v>115</v>
      </c>
      <c r="G82" t="s">
        <v>100</v>
      </c>
      <c r="H82" s="5">
        <v>0</v>
      </c>
      <c r="I82" s="7">
        <v>23445</v>
      </c>
      <c r="J82" s="7">
        <f t="shared" si="1"/>
        <v>23445</v>
      </c>
      <c r="K82" s="3">
        <v>45709</v>
      </c>
      <c r="L82" t="s">
        <v>101</v>
      </c>
      <c r="M82" s="4" t="s">
        <v>112</v>
      </c>
    </row>
    <row r="83" spans="1:13" ht="28.8" x14ac:dyDescent="0.3">
      <c r="A83" s="3">
        <v>45788</v>
      </c>
      <c r="B83" t="s">
        <v>53</v>
      </c>
      <c r="C83" t="s">
        <v>45</v>
      </c>
      <c r="D83" t="s">
        <v>92</v>
      </c>
      <c r="E83" t="s">
        <v>103</v>
      </c>
      <c r="F83" t="s">
        <v>104</v>
      </c>
      <c r="G83" t="s">
        <v>107</v>
      </c>
      <c r="H83" s="5">
        <v>0</v>
      </c>
      <c r="I83" s="7">
        <v>26794</v>
      </c>
      <c r="J83" s="7">
        <f t="shared" si="1"/>
        <v>26794</v>
      </c>
      <c r="K83" s="3">
        <v>45809</v>
      </c>
      <c r="L83" t="s">
        <v>95</v>
      </c>
      <c r="M83" s="4" t="s">
        <v>112</v>
      </c>
    </row>
    <row r="84" spans="1:13" ht="28.8" x14ac:dyDescent="0.3">
      <c r="A84" s="3">
        <v>45877</v>
      </c>
      <c r="B84" t="s">
        <v>56</v>
      </c>
      <c r="C84" t="s">
        <v>45</v>
      </c>
      <c r="D84" t="s">
        <v>92</v>
      </c>
      <c r="E84" t="s">
        <v>103</v>
      </c>
      <c r="F84" t="s">
        <v>42</v>
      </c>
      <c r="G84" t="s">
        <v>107</v>
      </c>
      <c r="H84" s="5">
        <v>0</v>
      </c>
      <c r="I84" s="7">
        <v>-2686</v>
      </c>
      <c r="J84" s="7">
        <f t="shared" si="1"/>
        <v>-2686</v>
      </c>
      <c r="K84" s="3">
        <v>45884</v>
      </c>
      <c r="L84" t="s">
        <v>95</v>
      </c>
      <c r="M84" s="4" t="s">
        <v>106</v>
      </c>
    </row>
    <row r="85" spans="1:13" ht="28.8" x14ac:dyDescent="0.3">
      <c r="A85" s="3">
        <v>45671</v>
      </c>
      <c r="B85" t="s">
        <v>56</v>
      </c>
      <c r="C85" t="s">
        <v>45</v>
      </c>
      <c r="D85" t="s">
        <v>98</v>
      </c>
      <c r="E85" t="s">
        <v>113</v>
      </c>
      <c r="F85" t="s">
        <v>104</v>
      </c>
      <c r="G85" t="s">
        <v>116</v>
      </c>
      <c r="H85" s="5">
        <v>2525</v>
      </c>
      <c r="I85" s="7">
        <v>-3287</v>
      </c>
      <c r="J85" s="7">
        <f t="shared" si="1"/>
        <v>-762</v>
      </c>
      <c r="K85" s="3">
        <v>45716</v>
      </c>
      <c r="L85" t="s">
        <v>101</v>
      </c>
      <c r="M85" s="4" t="s">
        <v>106</v>
      </c>
    </row>
    <row r="86" spans="1:13" ht="28.8" x14ac:dyDescent="0.3">
      <c r="A86" s="3">
        <v>45696</v>
      </c>
      <c r="B86" t="s">
        <v>44</v>
      </c>
      <c r="C86" t="s">
        <v>63</v>
      </c>
      <c r="D86" t="s">
        <v>98</v>
      </c>
      <c r="E86" t="s">
        <v>113</v>
      </c>
      <c r="F86" t="s">
        <v>42</v>
      </c>
      <c r="G86" t="s">
        <v>105</v>
      </c>
      <c r="H86" s="5">
        <v>0</v>
      </c>
      <c r="I86" s="7">
        <v>-12987</v>
      </c>
      <c r="J86" s="7">
        <f t="shared" si="1"/>
        <v>-12987</v>
      </c>
      <c r="K86" s="3">
        <v>45741</v>
      </c>
      <c r="L86" t="s">
        <v>95</v>
      </c>
      <c r="M86" s="4" t="s">
        <v>106</v>
      </c>
    </row>
    <row r="87" spans="1:13" ht="28.8" x14ac:dyDescent="0.3">
      <c r="A87" s="3">
        <v>45906</v>
      </c>
      <c r="B87" t="s">
        <v>53</v>
      </c>
      <c r="C87" t="s">
        <v>45</v>
      </c>
      <c r="D87" t="s">
        <v>92</v>
      </c>
      <c r="E87" t="s">
        <v>103</v>
      </c>
      <c r="F87" t="s">
        <v>104</v>
      </c>
      <c r="G87" t="s">
        <v>94</v>
      </c>
      <c r="H87" s="5">
        <v>0</v>
      </c>
      <c r="I87" s="7">
        <v>-4975</v>
      </c>
      <c r="J87" s="7">
        <f t="shared" si="1"/>
        <v>-4975</v>
      </c>
      <c r="K87" s="3">
        <v>45951</v>
      </c>
      <c r="L87" t="s">
        <v>101</v>
      </c>
      <c r="M87" s="4" t="s">
        <v>112</v>
      </c>
    </row>
    <row r="88" spans="1:13" ht="28.8" x14ac:dyDescent="0.3">
      <c r="A88" s="3">
        <v>45673</v>
      </c>
      <c r="B88" t="s">
        <v>41</v>
      </c>
      <c r="C88" t="s">
        <v>27</v>
      </c>
      <c r="D88" t="s">
        <v>98</v>
      </c>
      <c r="E88" t="s">
        <v>113</v>
      </c>
      <c r="F88" t="s">
        <v>115</v>
      </c>
      <c r="G88" t="s">
        <v>100</v>
      </c>
      <c r="H88" s="5">
        <v>0</v>
      </c>
      <c r="I88" s="7">
        <v>2508</v>
      </c>
      <c r="J88" s="7">
        <f t="shared" si="1"/>
        <v>2508</v>
      </c>
      <c r="K88" s="3">
        <v>45680</v>
      </c>
      <c r="L88" t="s">
        <v>101</v>
      </c>
      <c r="M88" s="4" t="s">
        <v>96</v>
      </c>
    </row>
    <row r="89" spans="1:13" ht="28.8" x14ac:dyDescent="0.3">
      <c r="A89" s="3">
        <v>45695</v>
      </c>
      <c r="B89" t="s">
        <v>97</v>
      </c>
      <c r="C89" t="s">
        <v>63</v>
      </c>
      <c r="D89" t="s">
        <v>111</v>
      </c>
      <c r="E89" t="s">
        <v>103</v>
      </c>
      <c r="F89" t="s">
        <v>67</v>
      </c>
      <c r="G89" t="s">
        <v>94</v>
      </c>
      <c r="H89" s="5">
        <v>0</v>
      </c>
      <c r="I89" s="7">
        <v>-8465</v>
      </c>
      <c r="J89" s="7">
        <f t="shared" si="1"/>
        <v>-8465</v>
      </c>
      <c r="K89" s="3">
        <v>45740</v>
      </c>
      <c r="L89" t="s">
        <v>95</v>
      </c>
      <c r="M89" s="4" t="s">
        <v>114</v>
      </c>
    </row>
    <row r="90" spans="1:13" ht="28.8" x14ac:dyDescent="0.3">
      <c r="A90" s="3">
        <v>45749</v>
      </c>
      <c r="B90" t="s">
        <v>61</v>
      </c>
      <c r="C90" t="s">
        <v>63</v>
      </c>
      <c r="D90" t="s">
        <v>92</v>
      </c>
      <c r="E90" t="s">
        <v>109</v>
      </c>
      <c r="F90" t="s">
        <v>115</v>
      </c>
      <c r="G90" t="s">
        <v>110</v>
      </c>
      <c r="H90" s="5">
        <v>1635</v>
      </c>
      <c r="I90" s="7">
        <v>21155</v>
      </c>
      <c r="J90" s="7">
        <f t="shared" si="1"/>
        <v>22790</v>
      </c>
      <c r="K90" s="3">
        <v>45756</v>
      </c>
      <c r="L90" t="s">
        <v>95</v>
      </c>
      <c r="M90" s="4" t="s">
        <v>96</v>
      </c>
    </row>
    <row r="91" spans="1:13" ht="28.8" x14ac:dyDescent="0.3">
      <c r="A91" s="3">
        <v>45814</v>
      </c>
      <c r="B91" t="s">
        <v>97</v>
      </c>
      <c r="C91" t="s">
        <v>27</v>
      </c>
      <c r="D91" t="s">
        <v>111</v>
      </c>
      <c r="E91" t="s">
        <v>93</v>
      </c>
      <c r="F91" t="s">
        <v>47</v>
      </c>
      <c r="G91" t="s">
        <v>107</v>
      </c>
      <c r="H91" s="5">
        <v>0</v>
      </c>
      <c r="I91" s="7">
        <v>-11840</v>
      </c>
      <c r="J91" s="7">
        <f t="shared" si="1"/>
        <v>-11840</v>
      </c>
      <c r="K91" s="3">
        <v>45835</v>
      </c>
      <c r="L91" t="s">
        <v>101</v>
      </c>
      <c r="M91" s="4" t="s">
        <v>112</v>
      </c>
    </row>
    <row r="92" spans="1:13" ht="28.8" x14ac:dyDescent="0.3">
      <c r="A92" s="3">
        <v>45953</v>
      </c>
      <c r="B92" t="s">
        <v>102</v>
      </c>
      <c r="C92" t="s">
        <v>63</v>
      </c>
      <c r="D92" t="s">
        <v>111</v>
      </c>
      <c r="E92" t="s">
        <v>99</v>
      </c>
      <c r="F92" t="s">
        <v>42</v>
      </c>
      <c r="G92" t="s">
        <v>110</v>
      </c>
      <c r="H92" s="5">
        <v>1306</v>
      </c>
      <c r="I92" s="7">
        <v>-8900</v>
      </c>
      <c r="J92" s="7">
        <f t="shared" si="1"/>
        <v>-7594</v>
      </c>
      <c r="K92" s="3">
        <v>45998</v>
      </c>
      <c r="L92" t="s">
        <v>95</v>
      </c>
      <c r="M92" s="4" t="s">
        <v>108</v>
      </c>
    </row>
    <row r="93" spans="1:13" ht="28.8" x14ac:dyDescent="0.3">
      <c r="A93" s="3">
        <v>45682</v>
      </c>
      <c r="B93" t="s">
        <v>59</v>
      </c>
      <c r="C93" t="s">
        <v>63</v>
      </c>
      <c r="D93" t="s">
        <v>92</v>
      </c>
      <c r="E93" t="s">
        <v>103</v>
      </c>
      <c r="F93" t="s">
        <v>104</v>
      </c>
      <c r="G93" t="s">
        <v>105</v>
      </c>
      <c r="H93" s="5">
        <v>0</v>
      </c>
      <c r="I93" s="7">
        <v>-3413</v>
      </c>
      <c r="J93" s="7">
        <f t="shared" si="1"/>
        <v>-3413</v>
      </c>
      <c r="K93" s="3">
        <v>45712</v>
      </c>
      <c r="L93" t="s">
        <v>95</v>
      </c>
      <c r="M93" s="4" t="s">
        <v>96</v>
      </c>
    </row>
    <row r="94" spans="1:13" ht="28.8" x14ac:dyDescent="0.3">
      <c r="A94" s="3">
        <v>45745</v>
      </c>
      <c r="B94" t="s">
        <v>56</v>
      </c>
      <c r="C94" t="s">
        <v>45</v>
      </c>
      <c r="D94" t="s">
        <v>98</v>
      </c>
      <c r="E94" t="s">
        <v>93</v>
      </c>
      <c r="F94" t="s">
        <v>57</v>
      </c>
      <c r="G94" t="s">
        <v>100</v>
      </c>
      <c r="H94" s="5">
        <v>0</v>
      </c>
      <c r="I94" s="7">
        <v>8342</v>
      </c>
      <c r="J94" s="7">
        <f t="shared" si="1"/>
        <v>8342</v>
      </c>
      <c r="K94" s="3">
        <v>45759</v>
      </c>
      <c r="L94" t="s">
        <v>101</v>
      </c>
      <c r="M94" s="4" t="s">
        <v>106</v>
      </c>
    </row>
    <row r="95" spans="1:13" ht="28.8" x14ac:dyDescent="0.3">
      <c r="A95" s="3">
        <v>45776</v>
      </c>
      <c r="B95" t="s">
        <v>41</v>
      </c>
      <c r="C95" t="s">
        <v>35</v>
      </c>
      <c r="D95" t="s">
        <v>98</v>
      </c>
      <c r="E95" t="s">
        <v>103</v>
      </c>
      <c r="F95" t="s">
        <v>57</v>
      </c>
      <c r="G95" t="s">
        <v>116</v>
      </c>
      <c r="H95" s="5">
        <v>2300</v>
      </c>
      <c r="I95" s="7">
        <v>-8508</v>
      </c>
      <c r="J95" s="7">
        <f t="shared" si="1"/>
        <v>-6208</v>
      </c>
      <c r="K95" s="3">
        <v>45783</v>
      </c>
      <c r="L95" t="s">
        <v>95</v>
      </c>
      <c r="M95" s="4" t="s">
        <v>108</v>
      </c>
    </row>
    <row r="96" spans="1:13" ht="28.8" x14ac:dyDescent="0.3">
      <c r="A96" s="3">
        <v>45749</v>
      </c>
      <c r="B96" t="s">
        <v>102</v>
      </c>
      <c r="C96" t="s">
        <v>63</v>
      </c>
      <c r="D96" t="s">
        <v>98</v>
      </c>
      <c r="E96" t="s">
        <v>103</v>
      </c>
      <c r="F96" t="s">
        <v>42</v>
      </c>
      <c r="G96" t="s">
        <v>116</v>
      </c>
      <c r="H96" s="5">
        <v>1379</v>
      </c>
      <c r="I96" s="7">
        <v>-3143</v>
      </c>
      <c r="J96" s="7">
        <f t="shared" si="1"/>
        <v>-1764</v>
      </c>
      <c r="K96" s="3">
        <v>45794</v>
      </c>
      <c r="L96" t="s">
        <v>101</v>
      </c>
      <c r="M96" s="4" t="s">
        <v>108</v>
      </c>
    </row>
    <row r="97" spans="1:13" ht="28.8" x14ac:dyDescent="0.3">
      <c r="A97" s="3">
        <v>45841</v>
      </c>
      <c r="B97" t="s">
        <v>56</v>
      </c>
      <c r="C97" t="s">
        <v>63</v>
      </c>
      <c r="D97" t="s">
        <v>111</v>
      </c>
      <c r="E97" t="s">
        <v>99</v>
      </c>
      <c r="F97" t="s">
        <v>67</v>
      </c>
      <c r="G97" t="s">
        <v>100</v>
      </c>
      <c r="H97" s="5">
        <v>741</v>
      </c>
      <c r="I97" s="7">
        <v>-10631</v>
      </c>
      <c r="J97" s="7">
        <f t="shared" si="1"/>
        <v>-9890</v>
      </c>
      <c r="K97" s="3">
        <v>45871</v>
      </c>
      <c r="L97" t="s">
        <v>101</v>
      </c>
      <c r="M97" s="4" t="s">
        <v>106</v>
      </c>
    </row>
    <row r="98" spans="1:13" ht="28.8" x14ac:dyDescent="0.3">
      <c r="A98" s="3">
        <v>45683</v>
      </c>
      <c r="B98" t="s">
        <v>102</v>
      </c>
      <c r="C98" t="s">
        <v>27</v>
      </c>
      <c r="D98" t="s">
        <v>92</v>
      </c>
      <c r="E98" t="s">
        <v>113</v>
      </c>
      <c r="F98" t="s">
        <v>67</v>
      </c>
      <c r="G98" t="s">
        <v>105</v>
      </c>
      <c r="H98" s="5">
        <v>0</v>
      </c>
      <c r="I98" s="7">
        <v>-23186</v>
      </c>
      <c r="J98" s="7">
        <f t="shared" si="1"/>
        <v>-23186</v>
      </c>
      <c r="K98" s="3">
        <v>45704</v>
      </c>
      <c r="L98" t="s">
        <v>101</v>
      </c>
      <c r="M98" s="4" t="s">
        <v>112</v>
      </c>
    </row>
    <row r="99" spans="1:13" ht="28.8" x14ac:dyDescent="0.3">
      <c r="A99" s="3">
        <v>45953</v>
      </c>
      <c r="B99" t="s">
        <v>53</v>
      </c>
      <c r="C99" t="s">
        <v>35</v>
      </c>
      <c r="D99" t="s">
        <v>98</v>
      </c>
      <c r="E99" t="s">
        <v>109</v>
      </c>
      <c r="F99" t="s">
        <v>57</v>
      </c>
      <c r="G99" t="s">
        <v>110</v>
      </c>
      <c r="H99" s="5">
        <v>2162</v>
      </c>
      <c r="I99" s="7">
        <v>11885</v>
      </c>
      <c r="J99" s="7">
        <f t="shared" si="1"/>
        <v>14047</v>
      </c>
      <c r="K99" s="3">
        <v>45983</v>
      </c>
      <c r="L99" t="s">
        <v>95</v>
      </c>
      <c r="M99" s="4" t="s">
        <v>114</v>
      </c>
    </row>
    <row r="100" spans="1:13" ht="28.8" x14ac:dyDescent="0.3">
      <c r="A100" s="3">
        <v>45886</v>
      </c>
      <c r="B100" t="s">
        <v>61</v>
      </c>
      <c r="C100" t="s">
        <v>45</v>
      </c>
      <c r="D100" t="s">
        <v>111</v>
      </c>
      <c r="E100" t="s">
        <v>99</v>
      </c>
      <c r="F100" t="s">
        <v>47</v>
      </c>
      <c r="G100" t="s">
        <v>100</v>
      </c>
      <c r="H100" s="5">
        <v>0</v>
      </c>
      <c r="I100" s="7">
        <v>35276</v>
      </c>
      <c r="J100" s="7">
        <f t="shared" si="1"/>
        <v>35276</v>
      </c>
      <c r="K100" s="3">
        <v>45916</v>
      </c>
      <c r="L100" t="s">
        <v>95</v>
      </c>
      <c r="M100" s="4" t="s">
        <v>112</v>
      </c>
    </row>
    <row r="101" spans="1:13" ht="28.8" x14ac:dyDescent="0.3">
      <c r="A101" s="3">
        <v>45983</v>
      </c>
      <c r="B101" t="s">
        <v>44</v>
      </c>
      <c r="C101" t="s">
        <v>63</v>
      </c>
      <c r="D101" t="s">
        <v>92</v>
      </c>
      <c r="E101" t="s">
        <v>103</v>
      </c>
      <c r="F101" t="s">
        <v>104</v>
      </c>
      <c r="G101" t="s">
        <v>100</v>
      </c>
      <c r="H101" s="5">
        <v>0</v>
      </c>
      <c r="I101" s="7">
        <v>19425</v>
      </c>
      <c r="J101" s="7">
        <f t="shared" si="1"/>
        <v>19425</v>
      </c>
      <c r="K101" s="3">
        <v>46004</v>
      </c>
      <c r="L101" t="s">
        <v>101</v>
      </c>
      <c r="M101" s="4" t="s">
        <v>108</v>
      </c>
    </row>
    <row r="102" spans="1:13" ht="28.8" x14ac:dyDescent="0.3">
      <c r="A102" s="3">
        <v>45906</v>
      </c>
      <c r="B102" t="s">
        <v>44</v>
      </c>
      <c r="C102" t="s">
        <v>27</v>
      </c>
      <c r="D102" t="s">
        <v>92</v>
      </c>
      <c r="E102" t="s">
        <v>99</v>
      </c>
      <c r="F102" t="s">
        <v>104</v>
      </c>
      <c r="G102" t="s">
        <v>105</v>
      </c>
      <c r="H102" s="5">
        <v>0</v>
      </c>
      <c r="I102" s="7">
        <v>10121</v>
      </c>
      <c r="J102" s="7">
        <f t="shared" si="1"/>
        <v>10121</v>
      </c>
      <c r="K102" s="3">
        <v>45927</v>
      </c>
      <c r="L102" t="s">
        <v>95</v>
      </c>
      <c r="M102" s="4" t="s">
        <v>106</v>
      </c>
    </row>
    <row r="103" spans="1:13" ht="28.8" x14ac:dyDescent="0.3">
      <c r="A103" s="3">
        <v>45664</v>
      </c>
      <c r="B103" t="s">
        <v>49</v>
      </c>
      <c r="C103" t="s">
        <v>63</v>
      </c>
      <c r="D103" t="s">
        <v>98</v>
      </c>
      <c r="E103" t="s">
        <v>103</v>
      </c>
      <c r="F103" t="s">
        <v>47</v>
      </c>
      <c r="G103" t="s">
        <v>110</v>
      </c>
      <c r="H103" s="5">
        <v>540</v>
      </c>
      <c r="I103" s="7">
        <v>17805</v>
      </c>
      <c r="J103" s="7">
        <f t="shared" si="1"/>
        <v>18345</v>
      </c>
      <c r="K103" s="3">
        <v>45685</v>
      </c>
      <c r="L103" t="s">
        <v>101</v>
      </c>
      <c r="M103" s="4" t="s">
        <v>106</v>
      </c>
    </row>
    <row r="104" spans="1:13" ht="28.8" x14ac:dyDescent="0.3">
      <c r="A104" s="3">
        <v>45917</v>
      </c>
      <c r="B104" t="s">
        <v>44</v>
      </c>
      <c r="C104" t="s">
        <v>27</v>
      </c>
      <c r="D104" t="s">
        <v>92</v>
      </c>
      <c r="E104" t="s">
        <v>103</v>
      </c>
      <c r="F104" t="s">
        <v>67</v>
      </c>
      <c r="G104" t="s">
        <v>116</v>
      </c>
      <c r="H104" s="5">
        <v>161</v>
      </c>
      <c r="I104" s="7">
        <v>18933</v>
      </c>
      <c r="J104" s="7">
        <f t="shared" si="1"/>
        <v>19094</v>
      </c>
      <c r="K104" s="3">
        <v>45938</v>
      </c>
      <c r="L104" t="s">
        <v>101</v>
      </c>
      <c r="M104" s="4" t="s">
        <v>96</v>
      </c>
    </row>
    <row r="105" spans="1:13" ht="28.8" x14ac:dyDescent="0.3">
      <c r="A105" s="3">
        <v>45946</v>
      </c>
      <c r="B105" t="s">
        <v>49</v>
      </c>
      <c r="C105" t="s">
        <v>45</v>
      </c>
      <c r="D105" t="s">
        <v>92</v>
      </c>
      <c r="E105" t="s">
        <v>113</v>
      </c>
      <c r="F105" t="s">
        <v>57</v>
      </c>
      <c r="G105" t="s">
        <v>107</v>
      </c>
      <c r="H105" s="5">
        <v>0</v>
      </c>
      <c r="I105" s="7">
        <v>20436</v>
      </c>
      <c r="J105" s="7">
        <f t="shared" si="1"/>
        <v>20436</v>
      </c>
      <c r="K105" s="3">
        <v>45991</v>
      </c>
      <c r="L105" t="s">
        <v>101</v>
      </c>
      <c r="M105" s="4" t="s">
        <v>114</v>
      </c>
    </row>
    <row r="106" spans="1:13" ht="28.8" x14ac:dyDescent="0.3">
      <c r="A106" s="3">
        <v>45873</v>
      </c>
      <c r="B106" t="s">
        <v>59</v>
      </c>
      <c r="C106" t="s">
        <v>45</v>
      </c>
      <c r="D106" t="s">
        <v>92</v>
      </c>
      <c r="E106" t="s">
        <v>99</v>
      </c>
      <c r="F106" t="s">
        <v>57</v>
      </c>
      <c r="G106" t="s">
        <v>100</v>
      </c>
      <c r="H106" s="5">
        <v>0</v>
      </c>
      <c r="I106" s="7">
        <v>-190</v>
      </c>
      <c r="J106" s="7">
        <f t="shared" si="1"/>
        <v>-190</v>
      </c>
      <c r="K106" s="3">
        <v>45894</v>
      </c>
      <c r="L106" t="s">
        <v>95</v>
      </c>
      <c r="M106" s="4" t="s">
        <v>114</v>
      </c>
    </row>
    <row r="107" spans="1:13" ht="28.8" x14ac:dyDescent="0.3">
      <c r="A107" s="3">
        <v>45709</v>
      </c>
      <c r="B107" t="s">
        <v>44</v>
      </c>
      <c r="C107" t="s">
        <v>27</v>
      </c>
      <c r="D107" t="s">
        <v>92</v>
      </c>
      <c r="E107" t="s">
        <v>109</v>
      </c>
      <c r="F107" t="s">
        <v>47</v>
      </c>
      <c r="G107" t="s">
        <v>107</v>
      </c>
      <c r="H107" s="5">
        <v>0</v>
      </c>
      <c r="I107" s="7">
        <v>47016</v>
      </c>
      <c r="J107" s="7">
        <f t="shared" si="1"/>
        <v>47016</v>
      </c>
      <c r="K107" s="3">
        <v>45716</v>
      </c>
      <c r="L107" t="s">
        <v>95</v>
      </c>
      <c r="M107" s="4" t="s">
        <v>96</v>
      </c>
    </row>
    <row r="108" spans="1:13" ht="28.8" x14ac:dyDescent="0.3">
      <c r="A108" s="3">
        <v>45789</v>
      </c>
      <c r="B108" t="s">
        <v>49</v>
      </c>
      <c r="C108" t="s">
        <v>27</v>
      </c>
      <c r="D108" t="s">
        <v>92</v>
      </c>
      <c r="E108" t="s">
        <v>93</v>
      </c>
      <c r="F108" t="s">
        <v>42</v>
      </c>
      <c r="G108" t="s">
        <v>110</v>
      </c>
      <c r="H108" s="5">
        <v>1116</v>
      </c>
      <c r="I108" s="7">
        <v>-1099</v>
      </c>
      <c r="J108" s="7">
        <f t="shared" si="1"/>
        <v>17</v>
      </c>
      <c r="K108" s="3">
        <v>45819</v>
      </c>
      <c r="L108" t="s">
        <v>95</v>
      </c>
      <c r="M108" s="4" t="s">
        <v>112</v>
      </c>
    </row>
    <row r="109" spans="1:13" ht="28.8" x14ac:dyDescent="0.3">
      <c r="A109" s="3">
        <v>45750</v>
      </c>
      <c r="B109" t="s">
        <v>49</v>
      </c>
      <c r="C109" t="s">
        <v>35</v>
      </c>
      <c r="D109" t="s">
        <v>98</v>
      </c>
      <c r="E109" t="s">
        <v>99</v>
      </c>
      <c r="F109" t="s">
        <v>57</v>
      </c>
      <c r="G109" t="s">
        <v>116</v>
      </c>
      <c r="H109" s="5">
        <v>2652</v>
      </c>
      <c r="I109" s="7">
        <v>-9256</v>
      </c>
      <c r="J109" s="7">
        <f t="shared" si="1"/>
        <v>-6604</v>
      </c>
      <c r="K109" s="3">
        <v>45780</v>
      </c>
      <c r="L109" t="s">
        <v>95</v>
      </c>
      <c r="M109" s="4" t="s">
        <v>106</v>
      </c>
    </row>
    <row r="110" spans="1:13" ht="28.8" x14ac:dyDescent="0.3">
      <c r="A110" s="3">
        <v>45781</v>
      </c>
      <c r="B110" t="s">
        <v>56</v>
      </c>
      <c r="C110" t="s">
        <v>35</v>
      </c>
      <c r="D110" t="s">
        <v>111</v>
      </c>
      <c r="E110" t="s">
        <v>93</v>
      </c>
      <c r="F110" t="s">
        <v>57</v>
      </c>
      <c r="G110" t="s">
        <v>105</v>
      </c>
      <c r="H110" s="5">
        <v>0</v>
      </c>
      <c r="I110" s="7">
        <v>-8709</v>
      </c>
      <c r="J110" s="7">
        <f t="shared" si="1"/>
        <v>-8709</v>
      </c>
      <c r="K110" s="3">
        <v>45802</v>
      </c>
      <c r="L110" t="s">
        <v>101</v>
      </c>
      <c r="M110" s="4" t="s">
        <v>112</v>
      </c>
    </row>
    <row r="111" spans="1:13" ht="28.8" x14ac:dyDescent="0.3">
      <c r="A111" s="3">
        <v>45673</v>
      </c>
      <c r="B111" t="s">
        <v>56</v>
      </c>
      <c r="C111" t="s">
        <v>63</v>
      </c>
      <c r="D111" t="s">
        <v>98</v>
      </c>
      <c r="E111" t="s">
        <v>93</v>
      </c>
      <c r="F111" t="s">
        <v>42</v>
      </c>
      <c r="G111" t="s">
        <v>116</v>
      </c>
      <c r="H111" s="5">
        <v>288</v>
      </c>
      <c r="I111" s="7">
        <v>22772</v>
      </c>
      <c r="J111" s="7">
        <f t="shared" si="1"/>
        <v>23060</v>
      </c>
      <c r="K111" s="3">
        <v>45680</v>
      </c>
      <c r="L111" t="s">
        <v>95</v>
      </c>
      <c r="M111" s="4" t="s">
        <v>96</v>
      </c>
    </row>
    <row r="112" spans="1:13" ht="28.8" x14ac:dyDescent="0.3">
      <c r="A112" s="3">
        <v>45924</v>
      </c>
      <c r="B112" t="s">
        <v>44</v>
      </c>
      <c r="C112" t="s">
        <v>27</v>
      </c>
      <c r="D112" t="s">
        <v>92</v>
      </c>
      <c r="E112" t="s">
        <v>109</v>
      </c>
      <c r="F112" t="s">
        <v>42</v>
      </c>
      <c r="G112" t="s">
        <v>94</v>
      </c>
      <c r="H112" s="5">
        <v>0</v>
      </c>
      <c r="I112" s="7">
        <v>-12765</v>
      </c>
      <c r="J112" s="7">
        <f t="shared" si="1"/>
        <v>-12765</v>
      </c>
      <c r="K112" s="3">
        <v>45945</v>
      </c>
      <c r="L112" t="s">
        <v>101</v>
      </c>
      <c r="M112" s="4" t="s">
        <v>108</v>
      </c>
    </row>
    <row r="113" spans="1:13" ht="28.8" x14ac:dyDescent="0.3">
      <c r="A113" s="3">
        <v>45880</v>
      </c>
      <c r="B113" t="s">
        <v>34</v>
      </c>
      <c r="C113" t="s">
        <v>63</v>
      </c>
      <c r="D113" t="s">
        <v>111</v>
      </c>
      <c r="E113" t="s">
        <v>103</v>
      </c>
      <c r="F113" t="s">
        <v>42</v>
      </c>
      <c r="G113" t="s">
        <v>107</v>
      </c>
      <c r="H113" s="5">
        <v>0</v>
      </c>
      <c r="I113" s="7">
        <v>-10580</v>
      </c>
      <c r="J113" s="7">
        <f t="shared" si="1"/>
        <v>-10580</v>
      </c>
      <c r="K113" s="3">
        <v>45894</v>
      </c>
      <c r="L113" t="s">
        <v>95</v>
      </c>
      <c r="M113" s="4" t="s">
        <v>106</v>
      </c>
    </row>
    <row r="114" spans="1:13" ht="28.8" x14ac:dyDescent="0.3">
      <c r="A114" s="3">
        <v>45787</v>
      </c>
      <c r="B114" t="s">
        <v>61</v>
      </c>
      <c r="C114" t="s">
        <v>35</v>
      </c>
      <c r="D114" t="s">
        <v>92</v>
      </c>
      <c r="E114" t="s">
        <v>103</v>
      </c>
      <c r="F114" t="s">
        <v>47</v>
      </c>
      <c r="G114" t="s">
        <v>94</v>
      </c>
      <c r="H114" s="5">
        <v>0</v>
      </c>
      <c r="I114" s="7">
        <v>17032</v>
      </c>
      <c r="J114" s="7">
        <f t="shared" si="1"/>
        <v>17032</v>
      </c>
      <c r="K114" s="3">
        <v>45808</v>
      </c>
      <c r="L114" t="s">
        <v>101</v>
      </c>
      <c r="M114" s="4" t="s">
        <v>96</v>
      </c>
    </row>
    <row r="115" spans="1:13" ht="28.8" x14ac:dyDescent="0.3">
      <c r="A115" s="3">
        <v>45753</v>
      </c>
      <c r="B115" t="s">
        <v>102</v>
      </c>
      <c r="C115" t="s">
        <v>63</v>
      </c>
      <c r="D115" t="s">
        <v>111</v>
      </c>
      <c r="E115" t="s">
        <v>109</v>
      </c>
      <c r="F115" t="s">
        <v>47</v>
      </c>
      <c r="G115" t="s">
        <v>107</v>
      </c>
      <c r="H115" s="5">
        <v>0</v>
      </c>
      <c r="I115" s="7">
        <v>-5370</v>
      </c>
      <c r="J115" s="7">
        <f t="shared" si="1"/>
        <v>-5370</v>
      </c>
      <c r="K115" s="3">
        <v>45760</v>
      </c>
      <c r="L115" t="s">
        <v>101</v>
      </c>
      <c r="M115" s="4" t="s">
        <v>108</v>
      </c>
    </row>
    <row r="116" spans="1:13" ht="28.8" x14ac:dyDescent="0.3">
      <c r="A116" s="3">
        <v>45729</v>
      </c>
      <c r="B116" t="s">
        <v>34</v>
      </c>
      <c r="C116" t="s">
        <v>27</v>
      </c>
      <c r="D116" t="s">
        <v>111</v>
      </c>
      <c r="E116" t="s">
        <v>93</v>
      </c>
      <c r="F116" t="s">
        <v>42</v>
      </c>
      <c r="G116" t="s">
        <v>107</v>
      </c>
      <c r="H116" s="5">
        <v>0</v>
      </c>
      <c r="I116" s="7">
        <v>-2352</v>
      </c>
      <c r="J116" s="7">
        <f t="shared" si="1"/>
        <v>-2352</v>
      </c>
      <c r="K116" s="3">
        <v>45774</v>
      </c>
      <c r="L116" t="s">
        <v>95</v>
      </c>
      <c r="M116" s="4" t="s">
        <v>96</v>
      </c>
    </row>
    <row r="117" spans="1:13" ht="28.8" x14ac:dyDescent="0.3">
      <c r="A117" s="3">
        <v>45887</v>
      </c>
      <c r="B117" t="s">
        <v>34</v>
      </c>
      <c r="C117" t="s">
        <v>35</v>
      </c>
      <c r="D117" t="s">
        <v>92</v>
      </c>
      <c r="E117" t="s">
        <v>93</v>
      </c>
      <c r="F117" t="s">
        <v>57</v>
      </c>
      <c r="G117" t="s">
        <v>105</v>
      </c>
      <c r="H117" s="5">
        <v>0</v>
      </c>
      <c r="I117" s="7">
        <v>-1873</v>
      </c>
      <c r="J117" s="7">
        <f t="shared" si="1"/>
        <v>-1873</v>
      </c>
      <c r="K117" s="3">
        <v>45908</v>
      </c>
      <c r="L117" t="s">
        <v>101</v>
      </c>
      <c r="M117" s="4" t="s">
        <v>114</v>
      </c>
    </row>
    <row r="118" spans="1:13" ht="28.8" x14ac:dyDescent="0.3">
      <c r="A118" s="3">
        <v>45668</v>
      </c>
      <c r="B118" t="s">
        <v>61</v>
      </c>
      <c r="C118" t="s">
        <v>35</v>
      </c>
      <c r="D118" t="s">
        <v>98</v>
      </c>
      <c r="E118" t="s">
        <v>109</v>
      </c>
      <c r="F118" t="s">
        <v>42</v>
      </c>
      <c r="G118" t="s">
        <v>105</v>
      </c>
      <c r="H118" s="5">
        <v>0</v>
      </c>
      <c r="I118" s="7">
        <v>-4964</v>
      </c>
      <c r="J118" s="7">
        <f t="shared" si="1"/>
        <v>-4964</v>
      </c>
      <c r="K118" s="3">
        <v>45713</v>
      </c>
      <c r="L118" t="s">
        <v>95</v>
      </c>
      <c r="M118" s="4" t="s">
        <v>112</v>
      </c>
    </row>
    <row r="119" spans="1:13" ht="28.8" x14ac:dyDescent="0.3">
      <c r="A119" s="3">
        <v>45674</v>
      </c>
      <c r="B119" t="s">
        <v>97</v>
      </c>
      <c r="C119" t="s">
        <v>27</v>
      </c>
      <c r="D119" t="s">
        <v>98</v>
      </c>
      <c r="E119" t="s">
        <v>109</v>
      </c>
      <c r="F119" t="s">
        <v>47</v>
      </c>
      <c r="G119" t="s">
        <v>116</v>
      </c>
      <c r="H119" s="5">
        <v>150</v>
      </c>
      <c r="I119" s="7">
        <v>-2780</v>
      </c>
      <c r="J119" s="7">
        <f t="shared" si="1"/>
        <v>-2630</v>
      </c>
      <c r="K119" s="3">
        <v>45695</v>
      </c>
      <c r="L119" t="s">
        <v>95</v>
      </c>
      <c r="M119" s="4" t="s">
        <v>96</v>
      </c>
    </row>
    <row r="120" spans="1:13" ht="28.8" x14ac:dyDescent="0.3">
      <c r="A120" s="3">
        <v>45727</v>
      </c>
      <c r="B120" t="s">
        <v>56</v>
      </c>
      <c r="C120" t="s">
        <v>35</v>
      </c>
      <c r="D120" t="s">
        <v>98</v>
      </c>
      <c r="E120" t="s">
        <v>113</v>
      </c>
      <c r="F120" t="s">
        <v>47</v>
      </c>
      <c r="G120" t="s">
        <v>105</v>
      </c>
      <c r="H120" s="5">
        <v>1614</v>
      </c>
      <c r="I120" s="7">
        <v>-5204</v>
      </c>
      <c r="J120" s="7">
        <f t="shared" si="1"/>
        <v>-3590</v>
      </c>
      <c r="K120" s="3">
        <v>45772</v>
      </c>
      <c r="L120" t="s">
        <v>101</v>
      </c>
      <c r="M120" s="4" t="s">
        <v>96</v>
      </c>
    </row>
    <row r="121" spans="1:13" ht="28.8" x14ac:dyDescent="0.3">
      <c r="A121" s="3">
        <v>45759</v>
      </c>
      <c r="B121" t="s">
        <v>44</v>
      </c>
      <c r="C121" t="s">
        <v>27</v>
      </c>
      <c r="D121" t="s">
        <v>92</v>
      </c>
      <c r="E121" t="s">
        <v>93</v>
      </c>
      <c r="F121" t="s">
        <v>115</v>
      </c>
      <c r="G121" t="s">
        <v>100</v>
      </c>
      <c r="H121" s="5">
        <v>1254</v>
      </c>
      <c r="I121" s="7">
        <v>-1287</v>
      </c>
      <c r="J121" s="7">
        <f t="shared" si="1"/>
        <v>-33</v>
      </c>
      <c r="K121" s="3">
        <v>45789</v>
      </c>
      <c r="L121" t="s">
        <v>101</v>
      </c>
      <c r="M121" s="4" t="s">
        <v>114</v>
      </c>
    </row>
    <row r="122" spans="1:13" ht="28.8" x14ac:dyDescent="0.3">
      <c r="A122" s="3">
        <v>45844</v>
      </c>
      <c r="B122" t="s">
        <v>61</v>
      </c>
      <c r="C122" t="s">
        <v>63</v>
      </c>
      <c r="D122" t="s">
        <v>92</v>
      </c>
      <c r="E122" t="s">
        <v>109</v>
      </c>
      <c r="F122" t="s">
        <v>115</v>
      </c>
      <c r="G122" t="s">
        <v>94</v>
      </c>
      <c r="H122" s="5">
        <v>806</v>
      </c>
      <c r="I122" s="7">
        <v>22096</v>
      </c>
      <c r="J122" s="7">
        <f t="shared" si="1"/>
        <v>22902</v>
      </c>
      <c r="K122" s="3">
        <v>45889</v>
      </c>
      <c r="L122" t="s">
        <v>95</v>
      </c>
      <c r="M122" s="4" t="s">
        <v>108</v>
      </c>
    </row>
    <row r="123" spans="1:13" ht="28.8" x14ac:dyDescent="0.3">
      <c r="A123" s="3">
        <v>45766</v>
      </c>
      <c r="B123" t="s">
        <v>102</v>
      </c>
      <c r="C123" t="s">
        <v>27</v>
      </c>
      <c r="D123" t="s">
        <v>92</v>
      </c>
      <c r="E123" t="s">
        <v>93</v>
      </c>
      <c r="F123" t="s">
        <v>115</v>
      </c>
      <c r="G123" t="s">
        <v>100</v>
      </c>
      <c r="H123" s="5">
        <v>1922</v>
      </c>
      <c r="I123" s="7">
        <v>-4161</v>
      </c>
      <c r="J123" s="7">
        <f t="shared" si="1"/>
        <v>-2239</v>
      </c>
      <c r="K123" s="3">
        <v>45811</v>
      </c>
      <c r="L123" t="s">
        <v>95</v>
      </c>
      <c r="M123" s="4" t="s">
        <v>108</v>
      </c>
    </row>
    <row r="124" spans="1:13" ht="28.8" x14ac:dyDescent="0.3">
      <c r="A124" s="3">
        <v>45688</v>
      </c>
      <c r="B124" t="s">
        <v>97</v>
      </c>
      <c r="C124" t="s">
        <v>27</v>
      </c>
      <c r="D124" t="s">
        <v>98</v>
      </c>
      <c r="E124" t="s">
        <v>113</v>
      </c>
      <c r="F124" t="s">
        <v>67</v>
      </c>
      <c r="G124" t="s">
        <v>116</v>
      </c>
      <c r="H124" s="5">
        <v>312</v>
      </c>
      <c r="I124" s="7">
        <v>2518</v>
      </c>
      <c r="J124" s="7">
        <f t="shared" si="1"/>
        <v>2830</v>
      </c>
      <c r="K124" s="3">
        <v>45733</v>
      </c>
      <c r="L124" t="s">
        <v>95</v>
      </c>
      <c r="M124" s="4" t="s">
        <v>108</v>
      </c>
    </row>
    <row r="125" spans="1:13" ht="28.8" x14ac:dyDescent="0.3">
      <c r="A125" s="3">
        <v>45741</v>
      </c>
      <c r="B125" t="s">
        <v>53</v>
      </c>
      <c r="C125" t="s">
        <v>45</v>
      </c>
      <c r="D125" t="s">
        <v>98</v>
      </c>
      <c r="E125" t="s">
        <v>113</v>
      </c>
      <c r="F125" t="s">
        <v>115</v>
      </c>
      <c r="G125" t="s">
        <v>100</v>
      </c>
      <c r="H125" s="5">
        <v>0</v>
      </c>
      <c r="I125" s="7">
        <v>40260</v>
      </c>
      <c r="J125" s="7">
        <f t="shared" si="1"/>
        <v>40260</v>
      </c>
      <c r="K125" s="3">
        <v>45771</v>
      </c>
      <c r="L125" t="s">
        <v>95</v>
      </c>
      <c r="M125" s="4" t="s">
        <v>96</v>
      </c>
    </row>
    <row r="126" spans="1:13" ht="28.8" x14ac:dyDescent="0.3">
      <c r="A126" s="3">
        <v>45910</v>
      </c>
      <c r="B126" t="s">
        <v>49</v>
      </c>
      <c r="C126" t="s">
        <v>27</v>
      </c>
      <c r="D126" t="s">
        <v>92</v>
      </c>
      <c r="E126" t="s">
        <v>99</v>
      </c>
      <c r="F126" t="s">
        <v>47</v>
      </c>
      <c r="G126" t="s">
        <v>100</v>
      </c>
      <c r="H126" s="5">
        <v>550</v>
      </c>
      <c r="I126" s="7">
        <v>-12319</v>
      </c>
      <c r="J126" s="7">
        <f t="shared" si="1"/>
        <v>-11769</v>
      </c>
      <c r="K126" s="3">
        <v>45917</v>
      </c>
      <c r="L126" t="s">
        <v>95</v>
      </c>
      <c r="M126" s="4" t="s">
        <v>108</v>
      </c>
    </row>
    <row r="127" spans="1:13" ht="28.8" x14ac:dyDescent="0.3">
      <c r="A127" s="3">
        <v>45770</v>
      </c>
      <c r="B127" t="s">
        <v>34</v>
      </c>
      <c r="C127" t="s">
        <v>27</v>
      </c>
      <c r="D127" t="s">
        <v>98</v>
      </c>
      <c r="E127" t="s">
        <v>113</v>
      </c>
      <c r="F127" t="s">
        <v>115</v>
      </c>
      <c r="G127" t="s">
        <v>100</v>
      </c>
      <c r="H127" s="5">
        <v>293</v>
      </c>
      <c r="I127" s="7">
        <v>-12477</v>
      </c>
      <c r="J127" s="7">
        <f t="shared" si="1"/>
        <v>-12184</v>
      </c>
      <c r="K127" s="3">
        <v>45815</v>
      </c>
      <c r="L127" t="s">
        <v>101</v>
      </c>
      <c r="M127" s="4" t="s">
        <v>108</v>
      </c>
    </row>
    <row r="128" spans="1:13" ht="28.8" x14ac:dyDescent="0.3">
      <c r="A128" s="3">
        <v>45735</v>
      </c>
      <c r="B128" t="s">
        <v>102</v>
      </c>
      <c r="C128" t="s">
        <v>27</v>
      </c>
      <c r="D128" t="s">
        <v>92</v>
      </c>
      <c r="E128" t="s">
        <v>103</v>
      </c>
      <c r="F128" t="s">
        <v>47</v>
      </c>
      <c r="G128" t="s">
        <v>116</v>
      </c>
      <c r="H128" s="5">
        <v>1551</v>
      </c>
      <c r="I128" s="7">
        <v>20510</v>
      </c>
      <c r="J128" s="7">
        <f t="shared" si="1"/>
        <v>22061</v>
      </c>
      <c r="K128" s="3">
        <v>45756</v>
      </c>
      <c r="L128" t="s">
        <v>95</v>
      </c>
      <c r="M128" s="4" t="s">
        <v>114</v>
      </c>
    </row>
    <row r="129" spans="1:13" ht="28.8" x14ac:dyDescent="0.3">
      <c r="A129" s="3">
        <v>45714</v>
      </c>
      <c r="B129" t="s">
        <v>34</v>
      </c>
      <c r="C129" t="s">
        <v>27</v>
      </c>
      <c r="D129" t="s">
        <v>92</v>
      </c>
      <c r="E129" t="s">
        <v>93</v>
      </c>
      <c r="F129" t="s">
        <v>42</v>
      </c>
      <c r="G129" t="s">
        <v>110</v>
      </c>
      <c r="H129" s="5">
        <v>1472</v>
      </c>
      <c r="I129" s="7">
        <v>1740</v>
      </c>
      <c r="J129" s="7">
        <f t="shared" si="1"/>
        <v>3212</v>
      </c>
      <c r="K129" s="3">
        <v>45721</v>
      </c>
      <c r="L129" t="s">
        <v>95</v>
      </c>
      <c r="M129" s="4" t="s">
        <v>106</v>
      </c>
    </row>
    <row r="130" spans="1:13" ht="28.8" x14ac:dyDescent="0.3">
      <c r="A130" s="3">
        <v>45938</v>
      </c>
      <c r="B130" t="s">
        <v>102</v>
      </c>
      <c r="C130" t="s">
        <v>63</v>
      </c>
      <c r="D130" t="s">
        <v>92</v>
      </c>
      <c r="E130" t="s">
        <v>99</v>
      </c>
      <c r="F130" t="s">
        <v>42</v>
      </c>
      <c r="G130" t="s">
        <v>94</v>
      </c>
      <c r="H130" s="5">
        <v>0</v>
      </c>
      <c r="I130" s="7">
        <v>-2562</v>
      </c>
      <c r="J130" s="7">
        <f t="shared" ref="J130:J193" si="2">H130+I130</f>
        <v>-2562</v>
      </c>
      <c r="K130" s="3">
        <v>45968</v>
      </c>
      <c r="L130" t="s">
        <v>95</v>
      </c>
      <c r="M130" s="4" t="s">
        <v>96</v>
      </c>
    </row>
    <row r="131" spans="1:13" ht="28.8" x14ac:dyDescent="0.3">
      <c r="A131" s="3">
        <v>45811</v>
      </c>
      <c r="B131" t="s">
        <v>102</v>
      </c>
      <c r="C131" t="s">
        <v>35</v>
      </c>
      <c r="D131" t="s">
        <v>98</v>
      </c>
      <c r="E131" t="s">
        <v>109</v>
      </c>
      <c r="F131" t="s">
        <v>115</v>
      </c>
      <c r="G131" t="s">
        <v>116</v>
      </c>
      <c r="H131" s="5">
        <v>0</v>
      </c>
      <c r="I131" s="7">
        <v>-7529</v>
      </c>
      <c r="J131" s="7">
        <f t="shared" si="2"/>
        <v>-7529</v>
      </c>
      <c r="K131" s="3">
        <v>45832</v>
      </c>
      <c r="L131" t="s">
        <v>95</v>
      </c>
      <c r="M131" s="4" t="s">
        <v>108</v>
      </c>
    </row>
    <row r="132" spans="1:13" ht="28.8" x14ac:dyDescent="0.3">
      <c r="A132" s="3">
        <v>45823</v>
      </c>
      <c r="B132" t="s">
        <v>53</v>
      </c>
      <c r="C132" t="s">
        <v>45</v>
      </c>
      <c r="D132" t="s">
        <v>92</v>
      </c>
      <c r="E132" t="s">
        <v>113</v>
      </c>
      <c r="F132" t="s">
        <v>47</v>
      </c>
      <c r="G132" t="s">
        <v>116</v>
      </c>
      <c r="H132" s="5">
        <v>1908</v>
      </c>
      <c r="I132" s="7">
        <v>3408</v>
      </c>
      <c r="J132" s="7">
        <f t="shared" si="2"/>
        <v>5316</v>
      </c>
      <c r="K132" s="3">
        <v>45853</v>
      </c>
      <c r="L132" t="s">
        <v>95</v>
      </c>
      <c r="M132" s="4" t="s">
        <v>96</v>
      </c>
    </row>
    <row r="133" spans="1:13" ht="28.8" x14ac:dyDescent="0.3">
      <c r="A133" s="3">
        <v>45984</v>
      </c>
      <c r="B133" t="s">
        <v>53</v>
      </c>
      <c r="C133" t="s">
        <v>45</v>
      </c>
      <c r="D133" t="s">
        <v>111</v>
      </c>
      <c r="E133" t="s">
        <v>113</v>
      </c>
      <c r="F133" t="s">
        <v>104</v>
      </c>
      <c r="G133" t="s">
        <v>107</v>
      </c>
      <c r="H133" s="5">
        <v>0</v>
      </c>
      <c r="I133" s="7">
        <v>4897</v>
      </c>
      <c r="J133" s="7">
        <f t="shared" si="2"/>
        <v>4897</v>
      </c>
      <c r="K133" s="3">
        <v>45991</v>
      </c>
      <c r="L133" t="s">
        <v>101</v>
      </c>
      <c r="M133" s="4" t="s">
        <v>114</v>
      </c>
    </row>
    <row r="134" spans="1:13" ht="28.8" x14ac:dyDescent="0.3">
      <c r="A134" s="3">
        <v>45934</v>
      </c>
      <c r="B134" t="s">
        <v>61</v>
      </c>
      <c r="C134" t="s">
        <v>27</v>
      </c>
      <c r="D134" t="s">
        <v>111</v>
      </c>
      <c r="E134" t="s">
        <v>93</v>
      </c>
      <c r="F134" t="s">
        <v>42</v>
      </c>
      <c r="G134" t="s">
        <v>107</v>
      </c>
      <c r="H134" s="5">
        <v>0</v>
      </c>
      <c r="I134" s="7">
        <v>-1170</v>
      </c>
      <c r="J134" s="7">
        <f t="shared" si="2"/>
        <v>-1170</v>
      </c>
      <c r="K134" s="3">
        <v>45948</v>
      </c>
      <c r="L134" t="s">
        <v>101</v>
      </c>
      <c r="M134" s="4" t="s">
        <v>112</v>
      </c>
    </row>
    <row r="135" spans="1:13" ht="28.8" x14ac:dyDescent="0.3">
      <c r="A135" s="3">
        <v>45812</v>
      </c>
      <c r="B135" t="s">
        <v>61</v>
      </c>
      <c r="C135" t="s">
        <v>45</v>
      </c>
      <c r="D135" t="s">
        <v>98</v>
      </c>
      <c r="E135" t="s">
        <v>109</v>
      </c>
      <c r="F135" t="s">
        <v>67</v>
      </c>
      <c r="G135" t="s">
        <v>107</v>
      </c>
      <c r="H135" s="5">
        <v>0</v>
      </c>
      <c r="I135" s="7">
        <v>18349</v>
      </c>
      <c r="J135" s="7">
        <f t="shared" si="2"/>
        <v>18349</v>
      </c>
      <c r="K135" s="3">
        <v>45826</v>
      </c>
      <c r="L135" t="s">
        <v>95</v>
      </c>
      <c r="M135" s="4" t="s">
        <v>96</v>
      </c>
    </row>
    <row r="136" spans="1:13" ht="28.8" x14ac:dyDescent="0.3">
      <c r="A136" s="3">
        <v>45937</v>
      </c>
      <c r="B136" t="s">
        <v>56</v>
      </c>
      <c r="C136" t="s">
        <v>27</v>
      </c>
      <c r="D136" t="s">
        <v>92</v>
      </c>
      <c r="E136" t="s">
        <v>113</v>
      </c>
      <c r="F136" t="s">
        <v>47</v>
      </c>
      <c r="G136" t="s">
        <v>94</v>
      </c>
      <c r="H136" s="5">
        <v>1056</v>
      </c>
      <c r="I136" s="7">
        <v>-7896</v>
      </c>
      <c r="J136" s="7">
        <f t="shared" si="2"/>
        <v>-6840</v>
      </c>
      <c r="K136" s="3">
        <v>45944</v>
      </c>
      <c r="L136" t="s">
        <v>95</v>
      </c>
      <c r="M136" s="4" t="s">
        <v>114</v>
      </c>
    </row>
    <row r="137" spans="1:13" ht="28.8" x14ac:dyDescent="0.3">
      <c r="A137" s="3">
        <v>45817</v>
      </c>
      <c r="B137" t="s">
        <v>41</v>
      </c>
      <c r="C137" t="s">
        <v>27</v>
      </c>
      <c r="D137" t="s">
        <v>98</v>
      </c>
      <c r="E137" t="s">
        <v>99</v>
      </c>
      <c r="F137" t="s">
        <v>67</v>
      </c>
      <c r="G137" t="s">
        <v>105</v>
      </c>
      <c r="H137" s="5">
        <v>0</v>
      </c>
      <c r="I137" s="7">
        <v>-3697</v>
      </c>
      <c r="J137" s="7">
        <f t="shared" si="2"/>
        <v>-3697</v>
      </c>
      <c r="K137" s="3">
        <v>45838</v>
      </c>
      <c r="L137" t="s">
        <v>101</v>
      </c>
      <c r="M137" s="4" t="s">
        <v>106</v>
      </c>
    </row>
    <row r="138" spans="1:13" ht="28.8" x14ac:dyDescent="0.3">
      <c r="A138" s="3">
        <v>45697</v>
      </c>
      <c r="B138" t="s">
        <v>53</v>
      </c>
      <c r="C138" t="s">
        <v>27</v>
      </c>
      <c r="D138" t="s">
        <v>92</v>
      </c>
      <c r="E138" t="s">
        <v>109</v>
      </c>
      <c r="F138" t="s">
        <v>67</v>
      </c>
      <c r="G138" t="s">
        <v>107</v>
      </c>
      <c r="H138" s="5">
        <v>891</v>
      </c>
      <c r="I138" s="7">
        <v>1333</v>
      </c>
      <c r="J138" s="7">
        <f t="shared" si="2"/>
        <v>2224</v>
      </c>
      <c r="K138" s="3">
        <v>45704</v>
      </c>
      <c r="L138" t="s">
        <v>95</v>
      </c>
      <c r="M138" s="4" t="s">
        <v>114</v>
      </c>
    </row>
    <row r="139" spans="1:13" ht="28.8" x14ac:dyDescent="0.3">
      <c r="A139" s="3">
        <v>45956</v>
      </c>
      <c r="B139" t="s">
        <v>49</v>
      </c>
      <c r="C139" t="s">
        <v>63</v>
      </c>
      <c r="D139" t="s">
        <v>98</v>
      </c>
      <c r="E139" t="s">
        <v>93</v>
      </c>
      <c r="F139" t="s">
        <v>67</v>
      </c>
      <c r="G139" t="s">
        <v>94</v>
      </c>
      <c r="H139" s="5">
        <v>0</v>
      </c>
      <c r="I139" s="7">
        <v>3475</v>
      </c>
      <c r="J139" s="7">
        <f t="shared" si="2"/>
        <v>3475</v>
      </c>
      <c r="K139" s="3">
        <v>45970</v>
      </c>
      <c r="L139" t="s">
        <v>95</v>
      </c>
      <c r="M139" s="4" t="s">
        <v>112</v>
      </c>
    </row>
    <row r="140" spans="1:13" ht="28.8" x14ac:dyDescent="0.3">
      <c r="A140" s="3">
        <v>45659</v>
      </c>
      <c r="B140" t="s">
        <v>34</v>
      </c>
      <c r="C140" t="s">
        <v>35</v>
      </c>
      <c r="D140" t="s">
        <v>98</v>
      </c>
      <c r="E140" t="s">
        <v>93</v>
      </c>
      <c r="F140" t="s">
        <v>57</v>
      </c>
      <c r="G140" t="s">
        <v>107</v>
      </c>
      <c r="H140" s="5">
        <v>0</v>
      </c>
      <c r="I140" s="7">
        <v>-11362</v>
      </c>
      <c r="J140" s="7">
        <f t="shared" si="2"/>
        <v>-11362</v>
      </c>
      <c r="K140" s="3">
        <v>45673</v>
      </c>
      <c r="L140" t="s">
        <v>95</v>
      </c>
      <c r="M140" s="4" t="s">
        <v>114</v>
      </c>
    </row>
    <row r="141" spans="1:13" ht="28.8" x14ac:dyDescent="0.3">
      <c r="A141" s="3">
        <v>45967</v>
      </c>
      <c r="B141" t="s">
        <v>41</v>
      </c>
      <c r="C141" t="s">
        <v>27</v>
      </c>
      <c r="D141" t="s">
        <v>92</v>
      </c>
      <c r="E141" t="s">
        <v>103</v>
      </c>
      <c r="F141" t="s">
        <v>57</v>
      </c>
      <c r="G141" t="s">
        <v>100</v>
      </c>
      <c r="H141" s="5">
        <v>0</v>
      </c>
      <c r="I141" s="7">
        <v>27757</v>
      </c>
      <c r="J141" s="7">
        <f t="shared" si="2"/>
        <v>27757</v>
      </c>
      <c r="K141" s="3">
        <v>45974</v>
      </c>
      <c r="L141" t="s">
        <v>101</v>
      </c>
      <c r="M141" s="4" t="s">
        <v>106</v>
      </c>
    </row>
    <row r="142" spans="1:13" ht="28.8" x14ac:dyDescent="0.3">
      <c r="A142" s="3">
        <v>45903</v>
      </c>
      <c r="B142" t="s">
        <v>34</v>
      </c>
      <c r="C142" t="s">
        <v>63</v>
      </c>
      <c r="D142" t="s">
        <v>111</v>
      </c>
      <c r="E142" t="s">
        <v>109</v>
      </c>
      <c r="F142" t="s">
        <v>42</v>
      </c>
      <c r="G142" t="s">
        <v>116</v>
      </c>
      <c r="H142" s="5">
        <v>3838</v>
      </c>
      <c r="I142" s="7">
        <v>7743</v>
      </c>
      <c r="J142" s="7">
        <f t="shared" si="2"/>
        <v>11581</v>
      </c>
      <c r="K142" s="3">
        <v>45910</v>
      </c>
      <c r="L142" t="s">
        <v>95</v>
      </c>
      <c r="M142" s="4" t="s">
        <v>112</v>
      </c>
    </row>
    <row r="143" spans="1:13" ht="28.8" x14ac:dyDescent="0.3">
      <c r="A143" s="3">
        <v>45925</v>
      </c>
      <c r="B143" t="s">
        <v>41</v>
      </c>
      <c r="C143" t="s">
        <v>63</v>
      </c>
      <c r="D143" t="s">
        <v>111</v>
      </c>
      <c r="E143" t="s">
        <v>113</v>
      </c>
      <c r="F143" t="s">
        <v>67</v>
      </c>
      <c r="G143" t="s">
        <v>110</v>
      </c>
      <c r="H143" s="5">
        <v>3077</v>
      </c>
      <c r="I143" s="7">
        <v>20487</v>
      </c>
      <c r="J143" s="7">
        <f t="shared" si="2"/>
        <v>23564</v>
      </c>
      <c r="K143" s="3">
        <v>45932</v>
      </c>
      <c r="L143" t="s">
        <v>101</v>
      </c>
      <c r="M143" s="4" t="s">
        <v>114</v>
      </c>
    </row>
    <row r="144" spans="1:13" ht="28.8" x14ac:dyDescent="0.3">
      <c r="A144" s="3">
        <v>45744</v>
      </c>
      <c r="B144" t="s">
        <v>61</v>
      </c>
      <c r="C144" t="s">
        <v>27</v>
      </c>
      <c r="D144" t="s">
        <v>98</v>
      </c>
      <c r="E144" t="s">
        <v>93</v>
      </c>
      <c r="F144" t="s">
        <v>104</v>
      </c>
      <c r="G144" t="s">
        <v>110</v>
      </c>
      <c r="H144" s="5">
        <v>2382</v>
      </c>
      <c r="I144" s="7">
        <v>36482</v>
      </c>
      <c r="J144" s="7">
        <f t="shared" si="2"/>
        <v>38864</v>
      </c>
      <c r="K144" s="3">
        <v>45774</v>
      </c>
      <c r="L144" t="s">
        <v>101</v>
      </c>
      <c r="M144" s="4" t="s">
        <v>106</v>
      </c>
    </row>
    <row r="145" spans="1:13" ht="28.8" x14ac:dyDescent="0.3">
      <c r="A145" s="3">
        <v>45818</v>
      </c>
      <c r="B145" t="s">
        <v>44</v>
      </c>
      <c r="C145" t="s">
        <v>45</v>
      </c>
      <c r="D145" t="s">
        <v>98</v>
      </c>
      <c r="E145" t="s">
        <v>113</v>
      </c>
      <c r="F145" t="s">
        <v>42</v>
      </c>
      <c r="G145" t="s">
        <v>110</v>
      </c>
      <c r="H145" s="5">
        <v>1780</v>
      </c>
      <c r="I145" s="7">
        <v>14372</v>
      </c>
      <c r="J145" s="7">
        <f t="shared" si="2"/>
        <v>16152</v>
      </c>
      <c r="K145" s="3">
        <v>45839</v>
      </c>
      <c r="L145" t="s">
        <v>101</v>
      </c>
      <c r="M145" s="4" t="s">
        <v>106</v>
      </c>
    </row>
    <row r="146" spans="1:13" ht="28.8" x14ac:dyDescent="0.3">
      <c r="A146" s="3">
        <v>45918</v>
      </c>
      <c r="B146" t="s">
        <v>56</v>
      </c>
      <c r="C146" t="s">
        <v>45</v>
      </c>
      <c r="D146" t="s">
        <v>98</v>
      </c>
      <c r="E146" t="s">
        <v>113</v>
      </c>
      <c r="F146" t="s">
        <v>42</v>
      </c>
      <c r="G146" t="s">
        <v>107</v>
      </c>
      <c r="H146" s="5">
        <v>0</v>
      </c>
      <c r="I146" s="7">
        <v>1093</v>
      </c>
      <c r="J146" s="7">
        <f t="shared" si="2"/>
        <v>1093</v>
      </c>
      <c r="K146" s="3">
        <v>45932</v>
      </c>
      <c r="L146" t="s">
        <v>95</v>
      </c>
      <c r="M146" s="4" t="s">
        <v>106</v>
      </c>
    </row>
    <row r="147" spans="1:13" ht="28.8" x14ac:dyDescent="0.3">
      <c r="A147" s="3">
        <v>45672</v>
      </c>
      <c r="B147" t="s">
        <v>56</v>
      </c>
      <c r="C147" t="s">
        <v>45</v>
      </c>
      <c r="D147" t="s">
        <v>92</v>
      </c>
      <c r="E147" t="s">
        <v>109</v>
      </c>
      <c r="F147" t="s">
        <v>104</v>
      </c>
      <c r="G147" t="s">
        <v>105</v>
      </c>
      <c r="H147" s="5">
        <v>0</v>
      </c>
      <c r="I147" s="7">
        <v>10837</v>
      </c>
      <c r="J147" s="7">
        <f t="shared" si="2"/>
        <v>10837</v>
      </c>
      <c r="K147" s="3">
        <v>45686</v>
      </c>
      <c r="L147" t="s">
        <v>101</v>
      </c>
      <c r="M147" s="4" t="s">
        <v>96</v>
      </c>
    </row>
    <row r="148" spans="1:13" ht="28.8" x14ac:dyDescent="0.3">
      <c r="A148" s="3">
        <v>45791</v>
      </c>
      <c r="B148" t="s">
        <v>59</v>
      </c>
      <c r="C148" t="s">
        <v>35</v>
      </c>
      <c r="D148" t="s">
        <v>92</v>
      </c>
      <c r="E148" t="s">
        <v>103</v>
      </c>
      <c r="F148" t="s">
        <v>57</v>
      </c>
      <c r="G148" t="s">
        <v>94</v>
      </c>
      <c r="H148" s="5">
        <v>0</v>
      </c>
      <c r="I148" s="7">
        <v>-10530</v>
      </c>
      <c r="J148" s="7">
        <f t="shared" si="2"/>
        <v>-10530</v>
      </c>
      <c r="K148" s="3">
        <v>45821</v>
      </c>
      <c r="L148" t="s">
        <v>95</v>
      </c>
      <c r="M148" s="4" t="s">
        <v>96</v>
      </c>
    </row>
    <row r="149" spans="1:13" ht="28.8" x14ac:dyDescent="0.3">
      <c r="A149" s="3">
        <v>45966</v>
      </c>
      <c r="B149" t="s">
        <v>49</v>
      </c>
      <c r="C149" t="s">
        <v>45</v>
      </c>
      <c r="D149" t="s">
        <v>98</v>
      </c>
      <c r="E149" t="s">
        <v>113</v>
      </c>
      <c r="F149" t="s">
        <v>67</v>
      </c>
      <c r="G149" t="s">
        <v>116</v>
      </c>
      <c r="H149" s="5">
        <v>1074</v>
      </c>
      <c r="I149" s="7">
        <v>5050</v>
      </c>
      <c r="J149" s="7">
        <f t="shared" si="2"/>
        <v>6124</v>
      </c>
      <c r="K149" s="3">
        <v>45973</v>
      </c>
      <c r="L149" t="s">
        <v>95</v>
      </c>
      <c r="M149" s="4" t="s">
        <v>112</v>
      </c>
    </row>
    <row r="150" spans="1:13" ht="28.8" x14ac:dyDescent="0.3">
      <c r="A150" s="3">
        <v>45807</v>
      </c>
      <c r="B150" t="s">
        <v>56</v>
      </c>
      <c r="C150" t="s">
        <v>35</v>
      </c>
      <c r="D150" t="s">
        <v>92</v>
      </c>
      <c r="E150" t="s">
        <v>103</v>
      </c>
      <c r="F150" t="s">
        <v>115</v>
      </c>
      <c r="G150" t="s">
        <v>116</v>
      </c>
      <c r="H150" s="5">
        <v>2524</v>
      </c>
      <c r="I150" s="7">
        <v>-12972</v>
      </c>
      <c r="J150" s="7">
        <f t="shared" si="2"/>
        <v>-10448</v>
      </c>
      <c r="K150" s="3">
        <v>45814</v>
      </c>
      <c r="L150" t="s">
        <v>101</v>
      </c>
      <c r="M150" s="4" t="s">
        <v>112</v>
      </c>
    </row>
    <row r="151" spans="1:13" ht="28.8" x14ac:dyDescent="0.3">
      <c r="A151" s="3">
        <v>45975</v>
      </c>
      <c r="B151" t="s">
        <v>53</v>
      </c>
      <c r="C151" t="s">
        <v>45</v>
      </c>
      <c r="D151" t="s">
        <v>92</v>
      </c>
      <c r="E151" t="s">
        <v>103</v>
      </c>
      <c r="F151" t="s">
        <v>42</v>
      </c>
      <c r="G151" t="s">
        <v>110</v>
      </c>
      <c r="H151" s="5">
        <v>1679</v>
      </c>
      <c r="I151" s="7">
        <v>20929</v>
      </c>
      <c r="J151" s="7">
        <f t="shared" si="2"/>
        <v>22608</v>
      </c>
      <c r="K151" s="3">
        <v>45996</v>
      </c>
      <c r="L151" t="s">
        <v>95</v>
      </c>
      <c r="M151" s="4" t="s">
        <v>96</v>
      </c>
    </row>
    <row r="152" spans="1:13" ht="28.8" x14ac:dyDescent="0.3">
      <c r="A152" s="3">
        <v>45904</v>
      </c>
      <c r="B152" t="s">
        <v>53</v>
      </c>
      <c r="C152" t="s">
        <v>63</v>
      </c>
      <c r="D152" t="s">
        <v>98</v>
      </c>
      <c r="E152" t="s">
        <v>103</v>
      </c>
      <c r="F152" t="s">
        <v>67</v>
      </c>
      <c r="G152" t="s">
        <v>105</v>
      </c>
      <c r="H152" s="5">
        <v>0</v>
      </c>
      <c r="I152" s="7">
        <v>-5504</v>
      </c>
      <c r="J152" s="7">
        <f t="shared" si="2"/>
        <v>-5504</v>
      </c>
      <c r="K152" s="3">
        <v>45911</v>
      </c>
      <c r="L152" t="s">
        <v>101</v>
      </c>
      <c r="M152" s="4" t="s">
        <v>112</v>
      </c>
    </row>
    <row r="153" spans="1:13" ht="28.8" x14ac:dyDescent="0.3">
      <c r="A153" s="3">
        <v>45708</v>
      </c>
      <c r="B153" t="s">
        <v>61</v>
      </c>
      <c r="C153" t="s">
        <v>35</v>
      </c>
      <c r="D153" t="s">
        <v>98</v>
      </c>
      <c r="E153" t="s">
        <v>109</v>
      </c>
      <c r="F153" t="s">
        <v>42</v>
      </c>
      <c r="G153" t="s">
        <v>94</v>
      </c>
      <c r="H153" s="5">
        <v>0</v>
      </c>
      <c r="I153" s="7">
        <v>-22656</v>
      </c>
      <c r="J153" s="7">
        <f t="shared" si="2"/>
        <v>-22656</v>
      </c>
      <c r="K153" s="3">
        <v>45715</v>
      </c>
      <c r="L153" t="s">
        <v>95</v>
      </c>
      <c r="M153" s="4" t="s">
        <v>112</v>
      </c>
    </row>
    <row r="154" spans="1:13" ht="28.8" x14ac:dyDescent="0.3">
      <c r="A154" s="3">
        <v>45796</v>
      </c>
      <c r="B154" t="s">
        <v>34</v>
      </c>
      <c r="C154" t="s">
        <v>27</v>
      </c>
      <c r="D154" t="s">
        <v>98</v>
      </c>
      <c r="E154" t="s">
        <v>113</v>
      </c>
      <c r="F154" t="s">
        <v>104</v>
      </c>
      <c r="G154" t="s">
        <v>110</v>
      </c>
      <c r="H154" s="5">
        <v>1857</v>
      </c>
      <c r="I154" s="7">
        <v>-25032</v>
      </c>
      <c r="J154" s="7">
        <f t="shared" si="2"/>
        <v>-23175</v>
      </c>
      <c r="K154" s="3">
        <v>45803</v>
      </c>
      <c r="L154" t="s">
        <v>95</v>
      </c>
      <c r="M154" s="4" t="s">
        <v>108</v>
      </c>
    </row>
    <row r="155" spans="1:13" ht="28.8" x14ac:dyDescent="0.3">
      <c r="A155" s="3">
        <v>45821</v>
      </c>
      <c r="B155" t="s">
        <v>49</v>
      </c>
      <c r="C155" t="s">
        <v>45</v>
      </c>
      <c r="D155" t="s">
        <v>98</v>
      </c>
      <c r="E155" t="s">
        <v>113</v>
      </c>
      <c r="F155" t="s">
        <v>104</v>
      </c>
      <c r="G155" t="s">
        <v>105</v>
      </c>
      <c r="H155" s="5">
        <v>0</v>
      </c>
      <c r="I155" s="7">
        <v>-224</v>
      </c>
      <c r="J155" s="7">
        <f t="shared" si="2"/>
        <v>-224</v>
      </c>
      <c r="K155" s="3">
        <v>45851</v>
      </c>
      <c r="L155" t="s">
        <v>95</v>
      </c>
      <c r="M155" s="4" t="s">
        <v>112</v>
      </c>
    </row>
    <row r="156" spans="1:13" ht="28.8" x14ac:dyDescent="0.3">
      <c r="A156" s="3">
        <v>45884</v>
      </c>
      <c r="B156" t="s">
        <v>53</v>
      </c>
      <c r="C156" t="s">
        <v>35</v>
      </c>
      <c r="D156" t="s">
        <v>92</v>
      </c>
      <c r="E156" t="s">
        <v>109</v>
      </c>
      <c r="F156" t="s">
        <v>47</v>
      </c>
      <c r="G156" t="s">
        <v>116</v>
      </c>
      <c r="H156" s="5">
        <v>2549</v>
      </c>
      <c r="I156" s="7">
        <v>-6458</v>
      </c>
      <c r="J156" s="7">
        <f t="shared" si="2"/>
        <v>-3909</v>
      </c>
      <c r="K156" s="3">
        <v>45914</v>
      </c>
      <c r="L156" t="s">
        <v>95</v>
      </c>
      <c r="M156" s="4" t="s">
        <v>106</v>
      </c>
    </row>
    <row r="157" spans="1:13" ht="28.8" x14ac:dyDescent="0.3">
      <c r="A157" s="3">
        <v>45981</v>
      </c>
      <c r="B157" t="s">
        <v>61</v>
      </c>
      <c r="C157" t="s">
        <v>63</v>
      </c>
      <c r="D157" t="s">
        <v>92</v>
      </c>
      <c r="E157" t="s">
        <v>113</v>
      </c>
      <c r="F157" t="s">
        <v>115</v>
      </c>
      <c r="G157" t="s">
        <v>94</v>
      </c>
      <c r="H157" s="5">
        <v>0</v>
      </c>
      <c r="I157" s="7">
        <v>3632</v>
      </c>
      <c r="J157" s="7">
        <f t="shared" si="2"/>
        <v>3632</v>
      </c>
      <c r="K157" s="3">
        <v>46026</v>
      </c>
      <c r="L157" t="s">
        <v>95</v>
      </c>
      <c r="M157" s="4" t="s">
        <v>108</v>
      </c>
    </row>
    <row r="158" spans="1:13" ht="28.8" x14ac:dyDescent="0.3">
      <c r="A158" s="3">
        <v>45864</v>
      </c>
      <c r="B158" t="s">
        <v>59</v>
      </c>
      <c r="C158" t="s">
        <v>45</v>
      </c>
      <c r="D158" t="s">
        <v>98</v>
      </c>
      <c r="E158" t="s">
        <v>113</v>
      </c>
      <c r="F158" t="s">
        <v>67</v>
      </c>
      <c r="G158" t="s">
        <v>100</v>
      </c>
      <c r="H158" s="5">
        <v>1923</v>
      </c>
      <c r="I158" s="7">
        <v>-20046</v>
      </c>
      <c r="J158" s="7">
        <f t="shared" si="2"/>
        <v>-18123</v>
      </c>
      <c r="K158" s="3">
        <v>45871</v>
      </c>
      <c r="L158" t="s">
        <v>101</v>
      </c>
      <c r="M158" s="4" t="s">
        <v>114</v>
      </c>
    </row>
    <row r="159" spans="1:13" ht="28.8" x14ac:dyDescent="0.3">
      <c r="A159" s="3">
        <v>45759</v>
      </c>
      <c r="B159" t="s">
        <v>59</v>
      </c>
      <c r="C159" t="s">
        <v>45</v>
      </c>
      <c r="D159" t="s">
        <v>92</v>
      </c>
      <c r="E159" t="s">
        <v>103</v>
      </c>
      <c r="F159" t="s">
        <v>47</v>
      </c>
      <c r="G159" t="s">
        <v>100</v>
      </c>
      <c r="H159" s="5">
        <v>0</v>
      </c>
      <c r="I159" s="7">
        <v>5889</v>
      </c>
      <c r="J159" s="7">
        <f t="shared" si="2"/>
        <v>5889</v>
      </c>
      <c r="K159" s="3">
        <v>45780</v>
      </c>
      <c r="L159" t="s">
        <v>95</v>
      </c>
      <c r="M159" s="4" t="s">
        <v>96</v>
      </c>
    </row>
    <row r="160" spans="1:13" ht="28.8" x14ac:dyDescent="0.3">
      <c r="A160" s="3">
        <v>45945</v>
      </c>
      <c r="B160" t="s">
        <v>56</v>
      </c>
      <c r="C160" t="s">
        <v>35</v>
      </c>
      <c r="D160" t="s">
        <v>98</v>
      </c>
      <c r="E160" t="s">
        <v>99</v>
      </c>
      <c r="F160" t="s">
        <v>104</v>
      </c>
      <c r="G160" t="s">
        <v>107</v>
      </c>
      <c r="H160" s="5">
        <v>0</v>
      </c>
      <c r="I160" s="7">
        <v>-14090</v>
      </c>
      <c r="J160" s="7">
        <f t="shared" si="2"/>
        <v>-14090</v>
      </c>
      <c r="K160" s="3">
        <v>45990</v>
      </c>
      <c r="L160" t="s">
        <v>101</v>
      </c>
      <c r="M160" s="4" t="s">
        <v>108</v>
      </c>
    </row>
    <row r="161" spans="1:13" ht="28.8" x14ac:dyDescent="0.3">
      <c r="A161" s="3">
        <v>45751</v>
      </c>
      <c r="B161" t="s">
        <v>53</v>
      </c>
      <c r="C161" t="s">
        <v>45</v>
      </c>
      <c r="D161" t="s">
        <v>92</v>
      </c>
      <c r="E161" t="s">
        <v>103</v>
      </c>
      <c r="F161" t="s">
        <v>104</v>
      </c>
      <c r="G161" t="s">
        <v>94</v>
      </c>
      <c r="H161" s="5">
        <v>0</v>
      </c>
      <c r="I161" s="7">
        <v>-10727</v>
      </c>
      <c r="J161" s="7">
        <f t="shared" si="2"/>
        <v>-10727</v>
      </c>
      <c r="K161" s="3">
        <v>45765</v>
      </c>
      <c r="L161" t="s">
        <v>95</v>
      </c>
      <c r="M161" s="4" t="s">
        <v>96</v>
      </c>
    </row>
    <row r="162" spans="1:13" ht="28.8" x14ac:dyDescent="0.3">
      <c r="A162" s="3">
        <v>45679</v>
      </c>
      <c r="B162" t="s">
        <v>53</v>
      </c>
      <c r="C162" t="s">
        <v>45</v>
      </c>
      <c r="D162" t="s">
        <v>92</v>
      </c>
      <c r="E162" t="s">
        <v>99</v>
      </c>
      <c r="F162" t="s">
        <v>104</v>
      </c>
      <c r="G162" t="s">
        <v>116</v>
      </c>
      <c r="H162" s="5">
        <v>1654</v>
      </c>
      <c r="I162" s="7">
        <v>-3781</v>
      </c>
      <c r="J162" s="7">
        <f t="shared" si="2"/>
        <v>-2127</v>
      </c>
      <c r="K162" s="3">
        <v>45700</v>
      </c>
      <c r="L162" t="s">
        <v>101</v>
      </c>
      <c r="M162" s="4" t="s">
        <v>108</v>
      </c>
    </row>
    <row r="163" spans="1:13" ht="28.8" x14ac:dyDescent="0.3">
      <c r="A163" s="3">
        <v>45774</v>
      </c>
      <c r="B163" t="s">
        <v>56</v>
      </c>
      <c r="C163" t="s">
        <v>45</v>
      </c>
      <c r="D163" t="s">
        <v>98</v>
      </c>
      <c r="E163" t="s">
        <v>109</v>
      </c>
      <c r="F163" t="s">
        <v>67</v>
      </c>
      <c r="G163" t="s">
        <v>107</v>
      </c>
      <c r="H163" s="5">
        <v>0</v>
      </c>
      <c r="I163" s="7">
        <v>-13504</v>
      </c>
      <c r="J163" s="7">
        <f t="shared" si="2"/>
        <v>-13504</v>
      </c>
      <c r="K163" s="3">
        <v>45795</v>
      </c>
      <c r="L163" t="s">
        <v>95</v>
      </c>
      <c r="M163" s="4" t="s">
        <v>114</v>
      </c>
    </row>
    <row r="164" spans="1:13" ht="28.8" x14ac:dyDescent="0.3">
      <c r="A164" s="3">
        <v>45944</v>
      </c>
      <c r="B164" t="s">
        <v>102</v>
      </c>
      <c r="C164" t="s">
        <v>45</v>
      </c>
      <c r="D164" t="s">
        <v>98</v>
      </c>
      <c r="E164" t="s">
        <v>93</v>
      </c>
      <c r="F164" t="s">
        <v>57</v>
      </c>
      <c r="G164" t="s">
        <v>100</v>
      </c>
      <c r="H164" s="5">
        <v>0</v>
      </c>
      <c r="I164" s="7">
        <v>-26564</v>
      </c>
      <c r="J164" s="7">
        <f t="shared" si="2"/>
        <v>-26564</v>
      </c>
      <c r="K164" s="3">
        <v>45965</v>
      </c>
      <c r="L164" t="s">
        <v>101</v>
      </c>
      <c r="M164" s="4" t="s">
        <v>106</v>
      </c>
    </row>
    <row r="165" spans="1:13" ht="28.8" x14ac:dyDescent="0.3">
      <c r="A165" s="3">
        <v>45706</v>
      </c>
      <c r="B165" t="s">
        <v>56</v>
      </c>
      <c r="C165" t="s">
        <v>45</v>
      </c>
      <c r="D165" t="s">
        <v>98</v>
      </c>
      <c r="E165" t="s">
        <v>93</v>
      </c>
      <c r="F165" t="s">
        <v>47</v>
      </c>
      <c r="G165" t="s">
        <v>94</v>
      </c>
      <c r="H165" s="5">
        <v>0</v>
      </c>
      <c r="I165" s="7">
        <v>-9524</v>
      </c>
      <c r="J165" s="7">
        <f t="shared" si="2"/>
        <v>-9524</v>
      </c>
      <c r="K165" s="3">
        <v>45727</v>
      </c>
      <c r="L165" t="s">
        <v>95</v>
      </c>
      <c r="M165" s="4" t="s">
        <v>114</v>
      </c>
    </row>
    <row r="166" spans="1:13" ht="28.8" x14ac:dyDescent="0.3">
      <c r="A166" s="3">
        <v>45950</v>
      </c>
      <c r="B166" t="s">
        <v>61</v>
      </c>
      <c r="C166" t="s">
        <v>27</v>
      </c>
      <c r="D166" t="s">
        <v>111</v>
      </c>
      <c r="E166" t="s">
        <v>93</v>
      </c>
      <c r="F166" t="s">
        <v>42</v>
      </c>
      <c r="G166" t="s">
        <v>105</v>
      </c>
      <c r="H166" s="5">
        <v>0</v>
      </c>
      <c r="I166" s="7">
        <v>-31564</v>
      </c>
      <c r="J166" s="7">
        <f t="shared" si="2"/>
        <v>-31564</v>
      </c>
      <c r="K166" s="3">
        <v>45957</v>
      </c>
      <c r="L166" t="s">
        <v>95</v>
      </c>
      <c r="M166" s="4" t="s">
        <v>112</v>
      </c>
    </row>
    <row r="167" spans="1:13" ht="28.8" x14ac:dyDescent="0.3">
      <c r="A167" s="3">
        <v>45901</v>
      </c>
      <c r="B167" t="s">
        <v>59</v>
      </c>
      <c r="C167" t="s">
        <v>27</v>
      </c>
      <c r="D167" t="s">
        <v>98</v>
      </c>
      <c r="E167" t="s">
        <v>99</v>
      </c>
      <c r="F167" t="s">
        <v>104</v>
      </c>
      <c r="G167" t="s">
        <v>107</v>
      </c>
      <c r="H167" s="5">
        <v>0</v>
      </c>
      <c r="I167" s="7">
        <v>-7062</v>
      </c>
      <c r="J167" s="7">
        <f t="shared" si="2"/>
        <v>-7062</v>
      </c>
      <c r="K167" s="3">
        <v>45931</v>
      </c>
      <c r="L167" t="s">
        <v>95</v>
      </c>
      <c r="M167" s="4" t="s">
        <v>112</v>
      </c>
    </row>
    <row r="168" spans="1:13" ht="28.8" x14ac:dyDescent="0.3">
      <c r="A168" s="3">
        <v>45871</v>
      </c>
      <c r="B168" t="s">
        <v>61</v>
      </c>
      <c r="C168" t="s">
        <v>35</v>
      </c>
      <c r="D168" t="s">
        <v>98</v>
      </c>
      <c r="E168" t="s">
        <v>93</v>
      </c>
      <c r="F168" t="s">
        <v>104</v>
      </c>
      <c r="G168" t="s">
        <v>110</v>
      </c>
      <c r="H168" s="5">
        <v>1914</v>
      </c>
      <c r="I168" s="7">
        <v>-3773</v>
      </c>
      <c r="J168" s="7">
        <f t="shared" si="2"/>
        <v>-1859</v>
      </c>
      <c r="K168" s="3">
        <v>45878</v>
      </c>
      <c r="L168" t="s">
        <v>101</v>
      </c>
      <c r="M168" s="4" t="s">
        <v>106</v>
      </c>
    </row>
    <row r="169" spans="1:13" ht="28.8" x14ac:dyDescent="0.3">
      <c r="A169" s="3">
        <v>45873</v>
      </c>
      <c r="B169" t="s">
        <v>61</v>
      </c>
      <c r="C169" t="s">
        <v>63</v>
      </c>
      <c r="D169" t="s">
        <v>92</v>
      </c>
      <c r="E169" t="s">
        <v>113</v>
      </c>
      <c r="F169" t="s">
        <v>104</v>
      </c>
      <c r="G169" t="s">
        <v>116</v>
      </c>
      <c r="H169" s="5">
        <v>2592</v>
      </c>
      <c r="I169" s="7">
        <v>-8429</v>
      </c>
      <c r="J169" s="7">
        <f t="shared" si="2"/>
        <v>-5837</v>
      </c>
      <c r="K169" s="3">
        <v>45894</v>
      </c>
      <c r="L169" t="s">
        <v>95</v>
      </c>
      <c r="M169" s="4" t="s">
        <v>114</v>
      </c>
    </row>
    <row r="170" spans="1:13" ht="28.8" x14ac:dyDescent="0.3">
      <c r="A170" s="3">
        <v>45958</v>
      </c>
      <c r="B170" t="s">
        <v>41</v>
      </c>
      <c r="C170" t="s">
        <v>63</v>
      </c>
      <c r="D170" t="s">
        <v>98</v>
      </c>
      <c r="E170" t="s">
        <v>99</v>
      </c>
      <c r="F170" t="s">
        <v>57</v>
      </c>
      <c r="G170" t="s">
        <v>116</v>
      </c>
      <c r="H170" s="5">
        <v>567</v>
      </c>
      <c r="I170" s="7">
        <v>-14717</v>
      </c>
      <c r="J170" s="7">
        <f t="shared" si="2"/>
        <v>-14150</v>
      </c>
      <c r="K170" s="3">
        <v>45979</v>
      </c>
      <c r="L170" t="s">
        <v>95</v>
      </c>
      <c r="M170" s="4" t="s">
        <v>106</v>
      </c>
    </row>
    <row r="171" spans="1:13" ht="28.8" x14ac:dyDescent="0.3">
      <c r="A171" s="3">
        <v>45932</v>
      </c>
      <c r="B171" t="s">
        <v>56</v>
      </c>
      <c r="C171" t="s">
        <v>45</v>
      </c>
      <c r="D171" t="s">
        <v>92</v>
      </c>
      <c r="E171" t="s">
        <v>93</v>
      </c>
      <c r="F171" t="s">
        <v>42</v>
      </c>
      <c r="G171" t="s">
        <v>94</v>
      </c>
      <c r="H171" s="5">
        <v>0</v>
      </c>
      <c r="I171" s="7">
        <v>-4151</v>
      </c>
      <c r="J171" s="7">
        <f t="shared" si="2"/>
        <v>-4151</v>
      </c>
      <c r="K171" s="3">
        <v>45939</v>
      </c>
      <c r="L171" t="s">
        <v>95</v>
      </c>
      <c r="M171" s="4" t="s">
        <v>108</v>
      </c>
    </row>
    <row r="172" spans="1:13" ht="28.8" x14ac:dyDescent="0.3">
      <c r="A172" s="3">
        <v>45962</v>
      </c>
      <c r="B172" t="s">
        <v>56</v>
      </c>
      <c r="C172" t="s">
        <v>35</v>
      </c>
      <c r="D172" t="s">
        <v>98</v>
      </c>
      <c r="E172" t="s">
        <v>93</v>
      </c>
      <c r="F172" t="s">
        <v>115</v>
      </c>
      <c r="G172" t="s">
        <v>100</v>
      </c>
      <c r="H172" s="5">
        <v>0</v>
      </c>
      <c r="I172" s="7">
        <v>-7420</v>
      </c>
      <c r="J172" s="7">
        <f t="shared" si="2"/>
        <v>-7420</v>
      </c>
      <c r="K172" s="3">
        <v>45992</v>
      </c>
      <c r="L172" t="s">
        <v>101</v>
      </c>
      <c r="M172" s="4" t="s">
        <v>106</v>
      </c>
    </row>
    <row r="173" spans="1:13" ht="28.8" x14ac:dyDescent="0.3">
      <c r="A173" s="3">
        <v>45720</v>
      </c>
      <c r="B173" t="s">
        <v>97</v>
      </c>
      <c r="C173" t="s">
        <v>35</v>
      </c>
      <c r="D173" t="s">
        <v>98</v>
      </c>
      <c r="E173" t="s">
        <v>93</v>
      </c>
      <c r="F173" t="s">
        <v>115</v>
      </c>
      <c r="G173" t="s">
        <v>116</v>
      </c>
      <c r="H173" s="5">
        <v>531</v>
      </c>
      <c r="I173" s="7">
        <v>11480</v>
      </c>
      <c r="J173" s="7">
        <f t="shared" si="2"/>
        <v>12011</v>
      </c>
      <c r="K173" s="3">
        <v>45750</v>
      </c>
      <c r="L173" t="s">
        <v>101</v>
      </c>
      <c r="M173" s="4" t="s">
        <v>96</v>
      </c>
    </row>
    <row r="174" spans="1:13" ht="28.8" x14ac:dyDescent="0.3">
      <c r="A174" s="3">
        <v>45805</v>
      </c>
      <c r="B174" t="s">
        <v>56</v>
      </c>
      <c r="C174" t="s">
        <v>63</v>
      </c>
      <c r="D174" t="s">
        <v>111</v>
      </c>
      <c r="E174" t="s">
        <v>93</v>
      </c>
      <c r="F174" t="s">
        <v>104</v>
      </c>
      <c r="G174" t="s">
        <v>100</v>
      </c>
      <c r="H174" s="5">
        <v>0</v>
      </c>
      <c r="I174" s="7">
        <v>19107</v>
      </c>
      <c r="J174" s="7">
        <f t="shared" si="2"/>
        <v>19107</v>
      </c>
      <c r="K174" s="3">
        <v>45812</v>
      </c>
      <c r="L174" t="s">
        <v>95</v>
      </c>
      <c r="M174" s="4" t="s">
        <v>106</v>
      </c>
    </row>
    <row r="175" spans="1:13" ht="28.8" x14ac:dyDescent="0.3">
      <c r="A175" s="3">
        <v>45861</v>
      </c>
      <c r="B175" t="s">
        <v>41</v>
      </c>
      <c r="C175" t="s">
        <v>35</v>
      </c>
      <c r="D175" t="s">
        <v>98</v>
      </c>
      <c r="E175" t="s">
        <v>99</v>
      </c>
      <c r="F175" t="s">
        <v>47</v>
      </c>
      <c r="G175" t="s">
        <v>105</v>
      </c>
      <c r="H175" s="5">
        <v>0</v>
      </c>
      <c r="I175" s="7">
        <v>20354</v>
      </c>
      <c r="J175" s="7">
        <f t="shared" si="2"/>
        <v>20354</v>
      </c>
      <c r="K175" s="3">
        <v>45875</v>
      </c>
      <c r="L175" t="s">
        <v>95</v>
      </c>
      <c r="M175" s="4" t="s">
        <v>114</v>
      </c>
    </row>
    <row r="176" spans="1:13" ht="28.8" x14ac:dyDescent="0.3">
      <c r="A176" s="3">
        <v>45914</v>
      </c>
      <c r="B176" t="s">
        <v>53</v>
      </c>
      <c r="C176" t="s">
        <v>63</v>
      </c>
      <c r="D176" t="s">
        <v>111</v>
      </c>
      <c r="E176" t="s">
        <v>103</v>
      </c>
      <c r="F176" t="s">
        <v>104</v>
      </c>
      <c r="G176" t="s">
        <v>107</v>
      </c>
      <c r="H176" s="5">
        <v>0</v>
      </c>
      <c r="I176" s="7">
        <v>-4076</v>
      </c>
      <c r="J176" s="7">
        <f t="shared" si="2"/>
        <v>-4076</v>
      </c>
      <c r="K176" s="3">
        <v>45944</v>
      </c>
      <c r="L176" t="s">
        <v>101</v>
      </c>
      <c r="M176" s="4" t="s">
        <v>96</v>
      </c>
    </row>
    <row r="177" spans="1:13" ht="28.8" x14ac:dyDescent="0.3">
      <c r="A177" s="3">
        <v>45884</v>
      </c>
      <c r="B177" t="s">
        <v>41</v>
      </c>
      <c r="C177" t="s">
        <v>27</v>
      </c>
      <c r="D177" t="s">
        <v>92</v>
      </c>
      <c r="E177" t="s">
        <v>103</v>
      </c>
      <c r="F177" t="s">
        <v>47</v>
      </c>
      <c r="G177" t="s">
        <v>105</v>
      </c>
      <c r="H177" s="5">
        <v>0</v>
      </c>
      <c r="I177" s="7">
        <v>-2031</v>
      </c>
      <c r="J177" s="7">
        <f t="shared" si="2"/>
        <v>-2031</v>
      </c>
      <c r="K177" s="3">
        <v>45891</v>
      </c>
      <c r="L177" t="s">
        <v>95</v>
      </c>
      <c r="M177" s="4" t="s">
        <v>106</v>
      </c>
    </row>
    <row r="178" spans="1:13" ht="28.8" x14ac:dyDescent="0.3">
      <c r="A178" s="3">
        <v>45667</v>
      </c>
      <c r="B178" t="s">
        <v>56</v>
      </c>
      <c r="C178" t="s">
        <v>27</v>
      </c>
      <c r="D178" t="s">
        <v>92</v>
      </c>
      <c r="E178" t="s">
        <v>99</v>
      </c>
      <c r="F178" t="s">
        <v>42</v>
      </c>
      <c r="G178" t="s">
        <v>100</v>
      </c>
      <c r="H178" s="5">
        <v>0</v>
      </c>
      <c r="I178" s="7">
        <v>15968</v>
      </c>
      <c r="J178" s="7">
        <f t="shared" si="2"/>
        <v>15968</v>
      </c>
      <c r="K178" s="3">
        <v>45674</v>
      </c>
      <c r="L178" t="s">
        <v>101</v>
      </c>
      <c r="M178" s="4" t="s">
        <v>108</v>
      </c>
    </row>
    <row r="179" spans="1:13" ht="28.8" x14ac:dyDescent="0.3">
      <c r="A179" s="3">
        <v>45706</v>
      </c>
      <c r="B179" t="s">
        <v>102</v>
      </c>
      <c r="C179" t="s">
        <v>63</v>
      </c>
      <c r="D179" t="s">
        <v>98</v>
      </c>
      <c r="E179" t="s">
        <v>113</v>
      </c>
      <c r="F179" t="s">
        <v>67</v>
      </c>
      <c r="G179" t="s">
        <v>100</v>
      </c>
      <c r="H179" s="5">
        <v>806</v>
      </c>
      <c r="I179" s="7">
        <v>36103</v>
      </c>
      <c r="J179" s="7">
        <f t="shared" si="2"/>
        <v>36909</v>
      </c>
      <c r="K179" s="3">
        <v>45736</v>
      </c>
      <c r="L179" t="s">
        <v>101</v>
      </c>
      <c r="M179" s="4" t="s">
        <v>96</v>
      </c>
    </row>
    <row r="180" spans="1:13" ht="28.8" x14ac:dyDescent="0.3">
      <c r="A180" s="3">
        <v>45762</v>
      </c>
      <c r="B180" t="s">
        <v>102</v>
      </c>
      <c r="C180" t="s">
        <v>35</v>
      </c>
      <c r="D180" t="s">
        <v>98</v>
      </c>
      <c r="E180" t="s">
        <v>103</v>
      </c>
      <c r="F180" t="s">
        <v>42</v>
      </c>
      <c r="G180" t="s">
        <v>107</v>
      </c>
      <c r="H180" s="5">
        <v>0</v>
      </c>
      <c r="I180" s="7">
        <v>-10392</v>
      </c>
      <c r="J180" s="7">
        <f t="shared" si="2"/>
        <v>-10392</v>
      </c>
      <c r="K180" s="3">
        <v>45792</v>
      </c>
      <c r="L180" t="s">
        <v>101</v>
      </c>
      <c r="M180" s="4" t="s">
        <v>96</v>
      </c>
    </row>
    <row r="181" spans="1:13" ht="28.8" x14ac:dyDescent="0.3">
      <c r="A181" s="3">
        <v>45963</v>
      </c>
      <c r="B181" t="s">
        <v>59</v>
      </c>
      <c r="C181" t="s">
        <v>35</v>
      </c>
      <c r="D181" t="s">
        <v>92</v>
      </c>
      <c r="E181" t="s">
        <v>109</v>
      </c>
      <c r="F181" t="s">
        <v>115</v>
      </c>
      <c r="G181" t="s">
        <v>105</v>
      </c>
      <c r="H181" s="5">
        <v>0</v>
      </c>
      <c r="I181" s="7">
        <v>-15411</v>
      </c>
      <c r="J181" s="7">
        <f t="shared" si="2"/>
        <v>-15411</v>
      </c>
      <c r="K181" s="3">
        <v>45970</v>
      </c>
      <c r="L181" t="s">
        <v>95</v>
      </c>
      <c r="M181" s="4" t="s">
        <v>112</v>
      </c>
    </row>
    <row r="182" spans="1:13" ht="28.8" x14ac:dyDescent="0.3">
      <c r="A182" s="3">
        <v>45673</v>
      </c>
      <c r="B182" t="s">
        <v>59</v>
      </c>
      <c r="C182" t="s">
        <v>35</v>
      </c>
      <c r="D182" t="s">
        <v>92</v>
      </c>
      <c r="E182" t="s">
        <v>93</v>
      </c>
      <c r="F182" t="s">
        <v>67</v>
      </c>
      <c r="G182" t="s">
        <v>100</v>
      </c>
      <c r="H182" s="5">
        <v>0</v>
      </c>
      <c r="I182" s="7">
        <v>2884</v>
      </c>
      <c r="J182" s="7">
        <f t="shared" si="2"/>
        <v>2884</v>
      </c>
      <c r="K182" s="3">
        <v>45703</v>
      </c>
      <c r="L182" t="s">
        <v>95</v>
      </c>
      <c r="M182" s="4" t="s">
        <v>112</v>
      </c>
    </row>
    <row r="183" spans="1:13" ht="28.8" x14ac:dyDescent="0.3">
      <c r="A183" s="3">
        <v>45863</v>
      </c>
      <c r="B183" t="s">
        <v>53</v>
      </c>
      <c r="C183" t="s">
        <v>35</v>
      </c>
      <c r="D183" t="s">
        <v>92</v>
      </c>
      <c r="E183" t="s">
        <v>103</v>
      </c>
      <c r="F183" t="s">
        <v>57</v>
      </c>
      <c r="G183" t="s">
        <v>94</v>
      </c>
      <c r="H183" s="5">
        <v>0</v>
      </c>
      <c r="I183" s="7">
        <v>-16311</v>
      </c>
      <c r="J183" s="7">
        <f t="shared" si="2"/>
        <v>-16311</v>
      </c>
      <c r="K183" s="3">
        <v>45893</v>
      </c>
      <c r="L183" t="s">
        <v>95</v>
      </c>
      <c r="M183" s="4" t="s">
        <v>112</v>
      </c>
    </row>
    <row r="184" spans="1:13" ht="28.8" x14ac:dyDescent="0.3">
      <c r="A184" s="3">
        <v>45874</v>
      </c>
      <c r="B184" t="s">
        <v>34</v>
      </c>
      <c r="C184" t="s">
        <v>35</v>
      </c>
      <c r="D184" t="s">
        <v>111</v>
      </c>
      <c r="E184" t="s">
        <v>103</v>
      </c>
      <c r="F184" t="s">
        <v>42</v>
      </c>
      <c r="G184" t="s">
        <v>100</v>
      </c>
      <c r="H184" s="5">
        <v>0</v>
      </c>
      <c r="I184" s="7">
        <v>-5631</v>
      </c>
      <c r="J184" s="7">
        <f t="shared" si="2"/>
        <v>-5631</v>
      </c>
      <c r="K184" s="3">
        <v>45888</v>
      </c>
      <c r="L184" t="s">
        <v>95</v>
      </c>
      <c r="M184" s="4" t="s">
        <v>96</v>
      </c>
    </row>
    <row r="185" spans="1:13" ht="28.8" x14ac:dyDescent="0.3">
      <c r="A185" s="3">
        <v>45900</v>
      </c>
      <c r="B185" t="s">
        <v>44</v>
      </c>
      <c r="C185" t="s">
        <v>45</v>
      </c>
      <c r="D185" t="s">
        <v>92</v>
      </c>
      <c r="E185" t="s">
        <v>93</v>
      </c>
      <c r="F185" t="s">
        <v>47</v>
      </c>
      <c r="G185" t="s">
        <v>116</v>
      </c>
      <c r="H185" s="5">
        <v>814</v>
      </c>
      <c r="I185" s="7">
        <v>34734</v>
      </c>
      <c r="J185" s="7">
        <f t="shared" si="2"/>
        <v>35548</v>
      </c>
      <c r="K185" s="3">
        <v>45907</v>
      </c>
      <c r="L185" t="s">
        <v>95</v>
      </c>
      <c r="M185" s="4" t="s">
        <v>114</v>
      </c>
    </row>
    <row r="186" spans="1:13" ht="28.8" x14ac:dyDescent="0.3">
      <c r="A186" s="3">
        <v>45982</v>
      </c>
      <c r="B186" t="s">
        <v>34</v>
      </c>
      <c r="C186" t="s">
        <v>27</v>
      </c>
      <c r="D186" t="s">
        <v>98</v>
      </c>
      <c r="E186" t="s">
        <v>103</v>
      </c>
      <c r="F186" t="s">
        <v>42</v>
      </c>
      <c r="G186" t="s">
        <v>110</v>
      </c>
      <c r="H186" s="5">
        <v>2358</v>
      </c>
      <c r="I186" s="7">
        <v>13101</v>
      </c>
      <c r="J186" s="7">
        <f t="shared" si="2"/>
        <v>15459</v>
      </c>
      <c r="K186" s="3">
        <v>46027</v>
      </c>
      <c r="L186" t="s">
        <v>95</v>
      </c>
      <c r="M186" s="4" t="s">
        <v>114</v>
      </c>
    </row>
    <row r="187" spans="1:13" ht="28.8" x14ac:dyDescent="0.3">
      <c r="A187" s="3">
        <v>45986</v>
      </c>
      <c r="B187" t="s">
        <v>49</v>
      </c>
      <c r="C187" t="s">
        <v>45</v>
      </c>
      <c r="D187" t="s">
        <v>92</v>
      </c>
      <c r="E187" t="s">
        <v>93</v>
      </c>
      <c r="F187" t="s">
        <v>42</v>
      </c>
      <c r="G187" t="s">
        <v>105</v>
      </c>
      <c r="H187" s="5">
        <v>0</v>
      </c>
      <c r="I187" s="7">
        <v>-31733</v>
      </c>
      <c r="J187" s="7">
        <f t="shared" si="2"/>
        <v>-31733</v>
      </c>
      <c r="K187" s="3">
        <v>46016</v>
      </c>
      <c r="L187" t="s">
        <v>95</v>
      </c>
      <c r="M187" s="4" t="s">
        <v>112</v>
      </c>
    </row>
    <row r="188" spans="1:13" ht="28.8" x14ac:dyDescent="0.3">
      <c r="A188" s="3">
        <v>45798</v>
      </c>
      <c r="B188" t="s">
        <v>41</v>
      </c>
      <c r="C188" t="s">
        <v>45</v>
      </c>
      <c r="D188" t="s">
        <v>98</v>
      </c>
      <c r="E188" t="s">
        <v>109</v>
      </c>
      <c r="F188" t="s">
        <v>42</v>
      </c>
      <c r="G188" t="s">
        <v>100</v>
      </c>
      <c r="H188" s="5">
        <v>0</v>
      </c>
      <c r="I188" s="7">
        <v>9480</v>
      </c>
      <c r="J188" s="7">
        <f t="shared" si="2"/>
        <v>9480</v>
      </c>
      <c r="K188" s="3">
        <v>45805</v>
      </c>
      <c r="L188" t="s">
        <v>95</v>
      </c>
      <c r="M188" s="4" t="s">
        <v>114</v>
      </c>
    </row>
    <row r="189" spans="1:13" ht="28.8" x14ac:dyDescent="0.3">
      <c r="A189" s="3">
        <v>45873</v>
      </c>
      <c r="B189" t="s">
        <v>34</v>
      </c>
      <c r="C189" t="s">
        <v>27</v>
      </c>
      <c r="D189" t="s">
        <v>92</v>
      </c>
      <c r="E189" t="s">
        <v>103</v>
      </c>
      <c r="F189" t="s">
        <v>57</v>
      </c>
      <c r="G189" t="s">
        <v>100</v>
      </c>
      <c r="H189" s="5">
        <v>0</v>
      </c>
      <c r="I189" s="7">
        <v>-4038</v>
      </c>
      <c r="J189" s="7">
        <f t="shared" si="2"/>
        <v>-4038</v>
      </c>
      <c r="K189" s="3">
        <v>45880</v>
      </c>
      <c r="L189" t="s">
        <v>101</v>
      </c>
      <c r="M189" s="4" t="s">
        <v>112</v>
      </c>
    </row>
    <row r="190" spans="1:13" ht="28.8" x14ac:dyDescent="0.3">
      <c r="A190" s="3">
        <v>45953</v>
      </c>
      <c r="B190" t="s">
        <v>97</v>
      </c>
      <c r="C190" t="s">
        <v>27</v>
      </c>
      <c r="D190" t="s">
        <v>111</v>
      </c>
      <c r="E190" t="s">
        <v>103</v>
      </c>
      <c r="F190" t="s">
        <v>67</v>
      </c>
      <c r="G190" t="s">
        <v>105</v>
      </c>
      <c r="H190" s="5">
        <v>0</v>
      </c>
      <c r="I190" s="7">
        <v>-12422</v>
      </c>
      <c r="J190" s="7">
        <f t="shared" si="2"/>
        <v>-12422</v>
      </c>
      <c r="K190" s="3">
        <v>45960</v>
      </c>
      <c r="L190" t="s">
        <v>95</v>
      </c>
      <c r="M190" s="4" t="s">
        <v>108</v>
      </c>
    </row>
    <row r="191" spans="1:13" ht="28.8" x14ac:dyDescent="0.3">
      <c r="A191" s="3">
        <v>45829</v>
      </c>
      <c r="B191" t="s">
        <v>34</v>
      </c>
      <c r="C191" t="s">
        <v>27</v>
      </c>
      <c r="D191" t="s">
        <v>98</v>
      </c>
      <c r="E191" t="s">
        <v>93</v>
      </c>
      <c r="F191" t="s">
        <v>67</v>
      </c>
      <c r="G191" t="s">
        <v>116</v>
      </c>
      <c r="H191" s="5">
        <v>3081</v>
      </c>
      <c r="I191" s="7">
        <v>-14814</v>
      </c>
      <c r="J191" s="7">
        <f t="shared" si="2"/>
        <v>-11733</v>
      </c>
      <c r="K191" s="3">
        <v>45843</v>
      </c>
      <c r="L191" t="s">
        <v>95</v>
      </c>
      <c r="M191" s="4" t="s">
        <v>106</v>
      </c>
    </row>
    <row r="192" spans="1:13" ht="28.8" x14ac:dyDescent="0.3">
      <c r="A192" s="3">
        <v>45780</v>
      </c>
      <c r="B192" t="s">
        <v>34</v>
      </c>
      <c r="C192" t="s">
        <v>45</v>
      </c>
      <c r="D192" t="s">
        <v>92</v>
      </c>
      <c r="E192" t="s">
        <v>93</v>
      </c>
      <c r="F192" t="s">
        <v>104</v>
      </c>
      <c r="G192" t="s">
        <v>94</v>
      </c>
      <c r="H192" s="5">
        <v>0</v>
      </c>
      <c r="I192" s="7">
        <v>16203</v>
      </c>
      <c r="J192" s="7">
        <f t="shared" si="2"/>
        <v>16203</v>
      </c>
      <c r="K192" s="3">
        <v>45825</v>
      </c>
      <c r="L192" t="s">
        <v>101</v>
      </c>
      <c r="M192" s="4" t="s">
        <v>96</v>
      </c>
    </row>
    <row r="193" spans="1:13" ht="28.8" x14ac:dyDescent="0.3">
      <c r="A193" s="3">
        <v>45830</v>
      </c>
      <c r="B193" t="s">
        <v>41</v>
      </c>
      <c r="C193" t="s">
        <v>45</v>
      </c>
      <c r="D193" t="s">
        <v>98</v>
      </c>
      <c r="E193" t="s">
        <v>109</v>
      </c>
      <c r="F193" t="s">
        <v>115</v>
      </c>
      <c r="G193" t="s">
        <v>116</v>
      </c>
      <c r="H193" s="5">
        <v>31</v>
      </c>
      <c r="I193" s="7">
        <v>-4800</v>
      </c>
      <c r="J193" s="7">
        <f t="shared" si="2"/>
        <v>-4769</v>
      </c>
      <c r="K193" s="3">
        <v>45837</v>
      </c>
      <c r="L193" t="s">
        <v>95</v>
      </c>
      <c r="M193" s="4" t="s">
        <v>108</v>
      </c>
    </row>
    <row r="194" spans="1:13" ht="28.8" x14ac:dyDescent="0.3">
      <c r="A194" s="3">
        <v>45708</v>
      </c>
      <c r="B194" t="s">
        <v>61</v>
      </c>
      <c r="C194" t="s">
        <v>45</v>
      </c>
      <c r="D194" t="s">
        <v>92</v>
      </c>
      <c r="E194" t="s">
        <v>113</v>
      </c>
      <c r="F194" t="s">
        <v>47</v>
      </c>
      <c r="G194" t="s">
        <v>105</v>
      </c>
      <c r="H194" s="5">
        <v>0</v>
      </c>
      <c r="I194" s="7">
        <v>-13664</v>
      </c>
      <c r="J194" s="7">
        <f t="shared" ref="J194:J241" si="3">H194+I194</f>
        <v>-13664</v>
      </c>
      <c r="K194" s="3">
        <v>45722</v>
      </c>
      <c r="L194" t="s">
        <v>101</v>
      </c>
      <c r="M194" s="4" t="s">
        <v>112</v>
      </c>
    </row>
    <row r="195" spans="1:13" ht="28.8" x14ac:dyDescent="0.3">
      <c r="A195" s="3">
        <v>45862</v>
      </c>
      <c r="B195" t="s">
        <v>53</v>
      </c>
      <c r="C195" t="s">
        <v>35</v>
      </c>
      <c r="D195" t="s">
        <v>92</v>
      </c>
      <c r="E195" t="s">
        <v>99</v>
      </c>
      <c r="F195" t="s">
        <v>42</v>
      </c>
      <c r="G195" t="s">
        <v>105</v>
      </c>
      <c r="H195" s="5">
        <v>0</v>
      </c>
      <c r="I195" s="7">
        <v>-13050</v>
      </c>
      <c r="J195" s="7">
        <f t="shared" si="3"/>
        <v>-13050</v>
      </c>
      <c r="K195" s="3">
        <v>45876</v>
      </c>
      <c r="L195" t="s">
        <v>101</v>
      </c>
      <c r="M195" s="4" t="s">
        <v>112</v>
      </c>
    </row>
    <row r="196" spans="1:13" ht="28.8" x14ac:dyDescent="0.3">
      <c r="A196" s="3">
        <v>45851</v>
      </c>
      <c r="B196" t="s">
        <v>97</v>
      </c>
      <c r="C196" t="s">
        <v>35</v>
      </c>
      <c r="D196" t="s">
        <v>92</v>
      </c>
      <c r="E196" t="s">
        <v>109</v>
      </c>
      <c r="F196" t="s">
        <v>115</v>
      </c>
      <c r="G196" t="s">
        <v>107</v>
      </c>
      <c r="H196" s="5">
        <v>939</v>
      </c>
      <c r="I196" s="7">
        <v>2234</v>
      </c>
      <c r="J196" s="7">
        <f t="shared" si="3"/>
        <v>3173</v>
      </c>
      <c r="K196" s="3">
        <v>45881</v>
      </c>
      <c r="L196" t="s">
        <v>95</v>
      </c>
      <c r="M196" s="4" t="s">
        <v>96</v>
      </c>
    </row>
    <row r="197" spans="1:13" ht="28.8" x14ac:dyDescent="0.3">
      <c r="A197" s="3">
        <v>45810</v>
      </c>
      <c r="B197" t="s">
        <v>102</v>
      </c>
      <c r="C197" t="s">
        <v>35</v>
      </c>
      <c r="D197" t="s">
        <v>92</v>
      </c>
      <c r="E197" t="s">
        <v>99</v>
      </c>
      <c r="F197" t="s">
        <v>47</v>
      </c>
      <c r="G197" t="s">
        <v>116</v>
      </c>
      <c r="H197" s="5">
        <v>2214</v>
      </c>
      <c r="I197" s="7">
        <v>-8311</v>
      </c>
      <c r="J197" s="7">
        <f t="shared" si="3"/>
        <v>-6097</v>
      </c>
      <c r="K197" s="3">
        <v>45817</v>
      </c>
      <c r="L197" t="s">
        <v>95</v>
      </c>
      <c r="M197" s="4" t="s">
        <v>96</v>
      </c>
    </row>
    <row r="198" spans="1:13" ht="28.8" x14ac:dyDescent="0.3">
      <c r="A198" s="3">
        <v>45668</v>
      </c>
      <c r="B198" t="s">
        <v>102</v>
      </c>
      <c r="C198" t="s">
        <v>27</v>
      </c>
      <c r="D198" t="s">
        <v>98</v>
      </c>
      <c r="E198" t="s">
        <v>113</v>
      </c>
      <c r="F198" t="s">
        <v>47</v>
      </c>
      <c r="G198" t="s">
        <v>107</v>
      </c>
      <c r="H198" s="5">
        <v>0</v>
      </c>
      <c r="I198" s="7">
        <v>-16858</v>
      </c>
      <c r="J198" s="7">
        <f t="shared" si="3"/>
        <v>-16858</v>
      </c>
      <c r="K198" s="3">
        <v>45698</v>
      </c>
      <c r="L198" t="s">
        <v>95</v>
      </c>
      <c r="M198" s="4" t="s">
        <v>106</v>
      </c>
    </row>
    <row r="199" spans="1:13" ht="28.8" x14ac:dyDescent="0.3">
      <c r="A199" s="3">
        <v>45741</v>
      </c>
      <c r="B199" t="s">
        <v>41</v>
      </c>
      <c r="C199" t="s">
        <v>63</v>
      </c>
      <c r="D199" t="s">
        <v>98</v>
      </c>
      <c r="E199" t="s">
        <v>93</v>
      </c>
      <c r="F199" t="s">
        <v>57</v>
      </c>
      <c r="G199" t="s">
        <v>94</v>
      </c>
      <c r="H199" s="5">
        <v>0</v>
      </c>
      <c r="I199" s="7">
        <v>-9599</v>
      </c>
      <c r="J199" s="7">
        <f t="shared" si="3"/>
        <v>-9599</v>
      </c>
      <c r="K199" s="3">
        <v>45762</v>
      </c>
      <c r="L199" t="s">
        <v>101</v>
      </c>
      <c r="M199" s="4" t="s">
        <v>112</v>
      </c>
    </row>
    <row r="200" spans="1:13" ht="28.8" x14ac:dyDescent="0.3">
      <c r="A200" s="3">
        <v>45979</v>
      </c>
      <c r="B200" t="s">
        <v>59</v>
      </c>
      <c r="C200" t="s">
        <v>35</v>
      </c>
      <c r="D200" t="s">
        <v>111</v>
      </c>
      <c r="E200" t="s">
        <v>109</v>
      </c>
      <c r="F200" t="s">
        <v>115</v>
      </c>
      <c r="G200" t="s">
        <v>94</v>
      </c>
      <c r="H200" s="5">
        <v>0</v>
      </c>
      <c r="I200" s="7">
        <v>4601</v>
      </c>
      <c r="J200" s="7">
        <f t="shared" si="3"/>
        <v>4601</v>
      </c>
      <c r="K200" s="3">
        <v>46000</v>
      </c>
      <c r="L200" t="s">
        <v>95</v>
      </c>
      <c r="M200" s="4" t="s">
        <v>96</v>
      </c>
    </row>
    <row r="201" spans="1:13" ht="28.8" x14ac:dyDescent="0.3">
      <c r="A201" s="3">
        <v>45877</v>
      </c>
      <c r="B201" t="s">
        <v>59</v>
      </c>
      <c r="C201" t="s">
        <v>63</v>
      </c>
      <c r="D201" t="s">
        <v>98</v>
      </c>
      <c r="E201" t="s">
        <v>99</v>
      </c>
      <c r="F201" t="s">
        <v>42</v>
      </c>
      <c r="G201" t="s">
        <v>105</v>
      </c>
      <c r="H201" s="5">
        <v>0</v>
      </c>
      <c r="I201" s="7">
        <v>22204</v>
      </c>
      <c r="J201" s="7">
        <f t="shared" si="3"/>
        <v>22204</v>
      </c>
      <c r="K201" s="3">
        <v>45891</v>
      </c>
      <c r="L201" t="s">
        <v>95</v>
      </c>
      <c r="M201" s="4" t="s">
        <v>114</v>
      </c>
    </row>
    <row r="202" spans="1:13" ht="28.8" x14ac:dyDescent="0.3">
      <c r="A202" s="3">
        <v>45868</v>
      </c>
      <c r="B202" t="s">
        <v>97</v>
      </c>
      <c r="C202" t="s">
        <v>45</v>
      </c>
      <c r="D202" t="s">
        <v>111</v>
      </c>
      <c r="E202" t="s">
        <v>103</v>
      </c>
      <c r="F202" t="s">
        <v>104</v>
      </c>
      <c r="G202" t="s">
        <v>110</v>
      </c>
      <c r="H202" s="5">
        <v>889</v>
      </c>
      <c r="I202" s="7">
        <v>8161</v>
      </c>
      <c r="J202" s="7">
        <f t="shared" si="3"/>
        <v>9050</v>
      </c>
      <c r="K202" s="3">
        <v>45898</v>
      </c>
      <c r="L202" t="s">
        <v>101</v>
      </c>
      <c r="M202" s="4" t="s">
        <v>112</v>
      </c>
    </row>
    <row r="203" spans="1:13" ht="28.8" x14ac:dyDescent="0.3">
      <c r="A203" s="3">
        <v>45719</v>
      </c>
      <c r="B203" t="s">
        <v>49</v>
      </c>
      <c r="C203" t="s">
        <v>35</v>
      </c>
      <c r="D203" t="s">
        <v>111</v>
      </c>
      <c r="E203" t="s">
        <v>113</v>
      </c>
      <c r="F203" t="s">
        <v>115</v>
      </c>
      <c r="G203" t="s">
        <v>110</v>
      </c>
      <c r="H203" s="5">
        <v>2099</v>
      </c>
      <c r="I203" s="7">
        <v>416</v>
      </c>
      <c r="J203" s="7">
        <f t="shared" si="3"/>
        <v>2515</v>
      </c>
      <c r="K203" s="3">
        <v>45733</v>
      </c>
      <c r="L203" t="s">
        <v>95</v>
      </c>
      <c r="M203" s="4" t="s">
        <v>108</v>
      </c>
    </row>
    <row r="204" spans="1:13" ht="28.8" x14ac:dyDescent="0.3">
      <c r="A204" s="3">
        <v>45694</v>
      </c>
      <c r="B204" t="s">
        <v>41</v>
      </c>
      <c r="C204" t="s">
        <v>63</v>
      </c>
      <c r="D204" t="s">
        <v>98</v>
      </c>
      <c r="E204" t="s">
        <v>113</v>
      </c>
      <c r="F204" t="s">
        <v>115</v>
      </c>
      <c r="G204" t="s">
        <v>94</v>
      </c>
      <c r="H204" s="5">
        <v>1280</v>
      </c>
      <c r="I204" s="7">
        <v>-10005</v>
      </c>
      <c r="J204" s="7">
        <f t="shared" si="3"/>
        <v>-8725</v>
      </c>
      <c r="K204" s="3">
        <v>45724</v>
      </c>
      <c r="L204" t="s">
        <v>95</v>
      </c>
      <c r="M204" s="4" t="s">
        <v>114</v>
      </c>
    </row>
    <row r="205" spans="1:13" ht="28.8" x14ac:dyDescent="0.3">
      <c r="A205" s="3">
        <v>45667</v>
      </c>
      <c r="B205" t="s">
        <v>49</v>
      </c>
      <c r="C205" t="s">
        <v>27</v>
      </c>
      <c r="D205" t="s">
        <v>111</v>
      </c>
      <c r="E205" t="s">
        <v>99</v>
      </c>
      <c r="F205" t="s">
        <v>57</v>
      </c>
      <c r="G205" t="s">
        <v>100</v>
      </c>
      <c r="H205" s="5">
        <v>0</v>
      </c>
      <c r="I205" s="7">
        <v>-14134</v>
      </c>
      <c r="J205" s="7">
        <f t="shared" si="3"/>
        <v>-14134</v>
      </c>
      <c r="K205" s="3">
        <v>45712</v>
      </c>
      <c r="L205" t="s">
        <v>95</v>
      </c>
      <c r="M205" s="4" t="s">
        <v>112</v>
      </c>
    </row>
    <row r="206" spans="1:13" ht="28.8" x14ac:dyDescent="0.3">
      <c r="A206" s="3">
        <v>45836</v>
      </c>
      <c r="B206" t="s">
        <v>49</v>
      </c>
      <c r="C206" t="s">
        <v>63</v>
      </c>
      <c r="D206" t="s">
        <v>98</v>
      </c>
      <c r="E206" t="s">
        <v>93</v>
      </c>
      <c r="F206" t="s">
        <v>104</v>
      </c>
      <c r="G206" t="s">
        <v>94</v>
      </c>
      <c r="H206" s="5">
        <v>0</v>
      </c>
      <c r="I206" s="7">
        <v>-9735</v>
      </c>
      <c r="J206" s="7">
        <f t="shared" si="3"/>
        <v>-9735</v>
      </c>
      <c r="K206" s="3">
        <v>45843</v>
      </c>
      <c r="L206" t="s">
        <v>95</v>
      </c>
      <c r="M206" s="4" t="s">
        <v>106</v>
      </c>
    </row>
    <row r="207" spans="1:13" ht="28.8" x14ac:dyDescent="0.3">
      <c r="A207" s="3">
        <v>45908</v>
      </c>
      <c r="B207" t="s">
        <v>53</v>
      </c>
      <c r="C207" t="s">
        <v>63</v>
      </c>
      <c r="D207" t="s">
        <v>111</v>
      </c>
      <c r="E207" t="s">
        <v>113</v>
      </c>
      <c r="F207" t="s">
        <v>57</v>
      </c>
      <c r="G207" t="s">
        <v>107</v>
      </c>
      <c r="H207" s="5">
        <v>0</v>
      </c>
      <c r="I207" s="7">
        <v>12710</v>
      </c>
      <c r="J207" s="7">
        <f t="shared" si="3"/>
        <v>12710</v>
      </c>
      <c r="K207" s="3">
        <v>45953</v>
      </c>
      <c r="L207" t="s">
        <v>95</v>
      </c>
      <c r="M207" s="4" t="s">
        <v>112</v>
      </c>
    </row>
    <row r="208" spans="1:13" ht="28.8" x14ac:dyDescent="0.3">
      <c r="A208" s="3">
        <v>45806</v>
      </c>
      <c r="B208" t="s">
        <v>49</v>
      </c>
      <c r="C208" t="s">
        <v>45</v>
      </c>
      <c r="D208" t="s">
        <v>92</v>
      </c>
      <c r="E208" t="s">
        <v>93</v>
      </c>
      <c r="F208" t="s">
        <v>42</v>
      </c>
      <c r="G208" t="s">
        <v>116</v>
      </c>
      <c r="H208" s="5">
        <v>446</v>
      </c>
      <c r="I208" s="7">
        <v>17716</v>
      </c>
      <c r="J208" s="7">
        <f t="shared" si="3"/>
        <v>18162</v>
      </c>
      <c r="K208" s="3">
        <v>45851</v>
      </c>
      <c r="L208" t="s">
        <v>95</v>
      </c>
      <c r="M208" s="4" t="s">
        <v>114</v>
      </c>
    </row>
    <row r="209" spans="1:13" ht="28.8" x14ac:dyDescent="0.3">
      <c r="A209" s="3">
        <v>45666</v>
      </c>
      <c r="B209" t="s">
        <v>102</v>
      </c>
      <c r="C209" t="s">
        <v>27</v>
      </c>
      <c r="D209" t="s">
        <v>92</v>
      </c>
      <c r="E209" t="s">
        <v>109</v>
      </c>
      <c r="F209" t="s">
        <v>67</v>
      </c>
      <c r="G209" t="s">
        <v>116</v>
      </c>
      <c r="H209" s="5">
        <v>2389</v>
      </c>
      <c r="I209" s="7">
        <v>16799</v>
      </c>
      <c r="J209" s="7">
        <f t="shared" si="3"/>
        <v>19188</v>
      </c>
      <c r="K209" s="3">
        <v>45711</v>
      </c>
      <c r="L209" t="s">
        <v>95</v>
      </c>
      <c r="M209" s="4" t="s">
        <v>112</v>
      </c>
    </row>
    <row r="210" spans="1:13" ht="28.8" x14ac:dyDescent="0.3">
      <c r="A210" s="3">
        <v>45824</v>
      </c>
      <c r="B210" t="s">
        <v>44</v>
      </c>
      <c r="C210" t="s">
        <v>45</v>
      </c>
      <c r="D210" t="s">
        <v>92</v>
      </c>
      <c r="E210" t="s">
        <v>93</v>
      </c>
      <c r="F210" t="s">
        <v>115</v>
      </c>
      <c r="G210" t="s">
        <v>94</v>
      </c>
      <c r="H210" s="5">
        <v>623</v>
      </c>
      <c r="I210" s="7">
        <v>17693</v>
      </c>
      <c r="J210" s="7">
        <f t="shared" si="3"/>
        <v>18316</v>
      </c>
      <c r="K210" s="3">
        <v>45869</v>
      </c>
      <c r="L210" t="s">
        <v>95</v>
      </c>
      <c r="M210" s="4" t="s">
        <v>114</v>
      </c>
    </row>
    <row r="211" spans="1:13" ht="28.8" x14ac:dyDescent="0.3">
      <c r="A211" s="3">
        <v>45701</v>
      </c>
      <c r="B211" t="s">
        <v>34</v>
      </c>
      <c r="C211" t="s">
        <v>35</v>
      </c>
      <c r="D211" t="s">
        <v>98</v>
      </c>
      <c r="E211" t="s">
        <v>93</v>
      </c>
      <c r="F211" t="s">
        <v>57</v>
      </c>
      <c r="G211" t="s">
        <v>100</v>
      </c>
      <c r="H211" s="5">
        <v>0</v>
      </c>
      <c r="I211" s="7">
        <v>-19447</v>
      </c>
      <c r="J211" s="7">
        <f t="shared" si="3"/>
        <v>-19447</v>
      </c>
      <c r="K211" s="3">
        <v>45715</v>
      </c>
      <c r="L211" t="s">
        <v>101</v>
      </c>
      <c r="M211" s="4" t="s">
        <v>96</v>
      </c>
    </row>
    <row r="212" spans="1:13" ht="28.8" x14ac:dyDescent="0.3">
      <c r="A212" s="3">
        <v>45759</v>
      </c>
      <c r="B212" t="s">
        <v>59</v>
      </c>
      <c r="C212" t="s">
        <v>45</v>
      </c>
      <c r="D212" t="s">
        <v>98</v>
      </c>
      <c r="E212" t="s">
        <v>93</v>
      </c>
      <c r="F212" t="s">
        <v>115</v>
      </c>
      <c r="G212" t="s">
        <v>100</v>
      </c>
      <c r="H212" s="5">
        <v>731</v>
      </c>
      <c r="I212" s="7">
        <v>-6135</v>
      </c>
      <c r="J212" s="7">
        <f t="shared" si="3"/>
        <v>-5404</v>
      </c>
      <c r="K212" s="3">
        <v>45780</v>
      </c>
      <c r="L212" t="s">
        <v>95</v>
      </c>
      <c r="M212" s="4" t="s">
        <v>112</v>
      </c>
    </row>
    <row r="213" spans="1:13" ht="28.8" x14ac:dyDescent="0.3">
      <c r="A213" s="3">
        <v>45664</v>
      </c>
      <c r="B213" t="s">
        <v>41</v>
      </c>
      <c r="C213" t="s">
        <v>35</v>
      </c>
      <c r="D213" t="s">
        <v>98</v>
      </c>
      <c r="E213" t="s">
        <v>103</v>
      </c>
      <c r="F213" t="s">
        <v>67</v>
      </c>
      <c r="G213" t="s">
        <v>94</v>
      </c>
      <c r="H213" s="5">
        <v>0</v>
      </c>
      <c r="I213" s="7">
        <v>-4424</v>
      </c>
      <c r="J213" s="7">
        <f t="shared" si="3"/>
        <v>-4424</v>
      </c>
      <c r="K213" s="3">
        <v>45671</v>
      </c>
      <c r="L213" t="s">
        <v>95</v>
      </c>
      <c r="M213" s="4" t="s">
        <v>108</v>
      </c>
    </row>
    <row r="214" spans="1:13" ht="28.8" x14ac:dyDescent="0.3">
      <c r="A214" s="3">
        <v>45922</v>
      </c>
      <c r="B214" t="s">
        <v>102</v>
      </c>
      <c r="C214" t="s">
        <v>35</v>
      </c>
      <c r="D214" t="s">
        <v>111</v>
      </c>
      <c r="E214" t="s">
        <v>93</v>
      </c>
      <c r="F214" t="s">
        <v>104</v>
      </c>
      <c r="G214" t="s">
        <v>110</v>
      </c>
      <c r="H214" s="5">
        <v>1406</v>
      </c>
      <c r="I214" s="7">
        <v>4390</v>
      </c>
      <c r="J214" s="7">
        <f t="shared" si="3"/>
        <v>5796</v>
      </c>
      <c r="K214" s="3">
        <v>45929</v>
      </c>
      <c r="L214" t="s">
        <v>95</v>
      </c>
      <c r="M214" s="4" t="s">
        <v>106</v>
      </c>
    </row>
    <row r="215" spans="1:13" ht="28.8" x14ac:dyDescent="0.3">
      <c r="A215" s="3">
        <v>45791</v>
      </c>
      <c r="B215" t="s">
        <v>97</v>
      </c>
      <c r="C215" t="s">
        <v>45</v>
      </c>
      <c r="D215" t="s">
        <v>111</v>
      </c>
      <c r="E215" t="s">
        <v>103</v>
      </c>
      <c r="F215" t="s">
        <v>115</v>
      </c>
      <c r="G215" t="s">
        <v>110</v>
      </c>
      <c r="H215" s="5">
        <v>2472</v>
      </c>
      <c r="I215" s="7">
        <v>10013</v>
      </c>
      <c r="J215" s="7">
        <f t="shared" si="3"/>
        <v>12485</v>
      </c>
      <c r="K215" s="3">
        <v>45798</v>
      </c>
      <c r="L215" t="s">
        <v>101</v>
      </c>
      <c r="M215" s="4" t="s">
        <v>96</v>
      </c>
    </row>
    <row r="216" spans="1:13" ht="28.8" x14ac:dyDescent="0.3">
      <c r="A216" s="3">
        <v>45901</v>
      </c>
      <c r="B216" t="s">
        <v>44</v>
      </c>
      <c r="C216" t="s">
        <v>63</v>
      </c>
      <c r="D216" t="s">
        <v>98</v>
      </c>
      <c r="E216" t="s">
        <v>113</v>
      </c>
      <c r="F216" t="s">
        <v>57</v>
      </c>
      <c r="G216" t="s">
        <v>105</v>
      </c>
      <c r="H216" s="5">
        <v>0</v>
      </c>
      <c r="I216" s="7">
        <v>15366</v>
      </c>
      <c r="J216" s="7">
        <f t="shared" si="3"/>
        <v>15366</v>
      </c>
      <c r="K216" s="3">
        <v>45915</v>
      </c>
      <c r="L216" t="s">
        <v>95</v>
      </c>
      <c r="M216" s="4" t="s">
        <v>108</v>
      </c>
    </row>
    <row r="217" spans="1:13" ht="28.8" x14ac:dyDescent="0.3">
      <c r="A217" s="3">
        <v>45864</v>
      </c>
      <c r="B217" t="s">
        <v>34</v>
      </c>
      <c r="C217" t="s">
        <v>35</v>
      </c>
      <c r="D217" t="s">
        <v>92</v>
      </c>
      <c r="E217" t="s">
        <v>93</v>
      </c>
      <c r="F217" t="s">
        <v>57</v>
      </c>
      <c r="G217" t="s">
        <v>94</v>
      </c>
      <c r="H217" s="5">
        <v>0</v>
      </c>
      <c r="I217" s="7">
        <v>20973</v>
      </c>
      <c r="J217" s="7">
        <f t="shared" si="3"/>
        <v>20973</v>
      </c>
      <c r="K217" s="3">
        <v>45894</v>
      </c>
      <c r="L217" t="s">
        <v>101</v>
      </c>
      <c r="M217" s="4" t="s">
        <v>108</v>
      </c>
    </row>
    <row r="218" spans="1:13" ht="28.8" x14ac:dyDescent="0.3">
      <c r="A218" s="3">
        <v>45751</v>
      </c>
      <c r="B218" t="s">
        <v>56</v>
      </c>
      <c r="C218" t="s">
        <v>63</v>
      </c>
      <c r="D218" t="s">
        <v>92</v>
      </c>
      <c r="E218" t="s">
        <v>109</v>
      </c>
      <c r="F218" t="s">
        <v>57</v>
      </c>
      <c r="G218" t="s">
        <v>105</v>
      </c>
      <c r="H218" s="5">
        <v>0</v>
      </c>
      <c r="I218" s="7">
        <v>-2628</v>
      </c>
      <c r="J218" s="7">
        <f t="shared" si="3"/>
        <v>-2628</v>
      </c>
      <c r="K218" s="3">
        <v>45765</v>
      </c>
      <c r="L218" t="s">
        <v>95</v>
      </c>
      <c r="M218" s="4" t="s">
        <v>108</v>
      </c>
    </row>
    <row r="219" spans="1:13" ht="28.8" x14ac:dyDescent="0.3">
      <c r="A219" s="3">
        <v>45957</v>
      </c>
      <c r="B219" t="s">
        <v>44</v>
      </c>
      <c r="C219" t="s">
        <v>45</v>
      </c>
      <c r="D219" t="s">
        <v>92</v>
      </c>
      <c r="E219" t="s">
        <v>113</v>
      </c>
      <c r="F219" t="s">
        <v>104</v>
      </c>
      <c r="G219" t="s">
        <v>100</v>
      </c>
      <c r="H219" s="5">
        <v>0</v>
      </c>
      <c r="I219" s="7">
        <v>31817</v>
      </c>
      <c r="J219" s="7">
        <f t="shared" si="3"/>
        <v>31817</v>
      </c>
      <c r="K219" s="3">
        <v>45978</v>
      </c>
      <c r="L219" t="s">
        <v>101</v>
      </c>
      <c r="M219" s="4" t="s">
        <v>106</v>
      </c>
    </row>
    <row r="220" spans="1:13" ht="28.8" x14ac:dyDescent="0.3">
      <c r="A220" s="3">
        <v>45924</v>
      </c>
      <c r="B220" t="s">
        <v>102</v>
      </c>
      <c r="C220" t="s">
        <v>63</v>
      </c>
      <c r="D220" t="s">
        <v>98</v>
      </c>
      <c r="E220" t="s">
        <v>109</v>
      </c>
      <c r="F220" t="s">
        <v>67</v>
      </c>
      <c r="G220" t="s">
        <v>100</v>
      </c>
      <c r="H220" s="5">
        <v>0</v>
      </c>
      <c r="I220" s="7">
        <v>21202</v>
      </c>
      <c r="J220" s="7">
        <f t="shared" si="3"/>
        <v>21202</v>
      </c>
      <c r="K220" s="3">
        <v>45938</v>
      </c>
      <c r="L220" t="s">
        <v>95</v>
      </c>
      <c r="M220" s="4" t="s">
        <v>96</v>
      </c>
    </row>
    <row r="221" spans="1:13" ht="28.8" x14ac:dyDescent="0.3">
      <c r="A221" s="3">
        <v>45785</v>
      </c>
      <c r="B221" t="s">
        <v>44</v>
      </c>
      <c r="C221" t="s">
        <v>27</v>
      </c>
      <c r="D221" t="s">
        <v>111</v>
      </c>
      <c r="E221" t="s">
        <v>103</v>
      </c>
      <c r="F221" t="s">
        <v>115</v>
      </c>
      <c r="G221" t="s">
        <v>105</v>
      </c>
      <c r="H221" s="5">
        <v>1665</v>
      </c>
      <c r="I221" s="7">
        <v>-3717</v>
      </c>
      <c r="J221" s="7">
        <f t="shared" si="3"/>
        <v>-2052</v>
      </c>
      <c r="K221" s="3">
        <v>45799</v>
      </c>
      <c r="L221" t="s">
        <v>95</v>
      </c>
      <c r="M221" s="4" t="s">
        <v>114</v>
      </c>
    </row>
    <row r="222" spans="1:13" ht="28.8" x14ac:dyDescent="0.3">
      <c r="A222" s="3">
        <v>45673</v>
      </c>
      <c r="B222" t="s">
        <v>41</v>
      </c>
      <c r="C222" t="s">
        <v>35</v>
      </c>
      <c r="D222" t="s">
        <v>92</v>
      </c>
      <c r="E222" t="s">
        <v>93</v>
      </c>
      <c r="F222" t="s">
        <v>104</v>
      </c>
      <c r="G222" t="s">
        <v>94</v>
      </c>
      <c r="H222" s="5">
        <v>0</v>
      </c>
      <c r="I222" s="7">
        <v>6426</v>
      </c>
      <c r="J222" s="7">
        <f t="shared" si="3"/>
        <v>6426</v>
      </c>
      <c r="K222" s="3">
        <v>45680</v>
      </c>
      <c r="L222" t="s">
        <v>95</v>
      </c>
      <c r="M222" s="4" t="s">
        <v>112</v>
      </c>
    </row>
    <row r="223" spans="1:13" ht="28.8" x14ac:dyDescent="0.3">
      <c r="A223" s="3">
        <v>45849</v>
      </c>
      <c r="B223" t="s">
        <v>59</v>
      </c>
      <c r="C223" t="s">
        <v>63</v>
      </c>
      <c r="D223" t="s">
        <v>98</v>
      </c>
      <c r="E223" t="s">
        <v>113</v>
      </c>
      <c r="F223" t="s">
        <v>57</v>
      </c>
      <c r="G223" t="s">
        <v>105</v>
      </c>
      <c r="H223" s="5">
        <v>0</v>
      </c>
      <c r="I223" s="7">
        <v>-2323</v>
      </c>
      <c r="J223" s="7">
        <f t="shared" si="3"/>
        <v>-2323</v>
      </c>
      <c r="K223" s="3">
        <v>45894</v>
      </c>
      <c r="L223" t="s">
        <v>95</v>
      </c>
      <c r="M223" s="4" t="s">
        <v>106</v>
      </c>
    </row>
    <row r="224" spans="1:13" ht="28.8" x14ac:dyDescent="0.3">
      <c r="A224" s="3">
        <v>45665</v>
      </c>
      <c r="B224" t="s">
        <v>41</v>
      </c>
      <c r="C224" t="s">
        <v>45</v>
      </c>
      <c r="D224" t="s">
        <v>111</v>
      </c>
      <c r="E224" t="s">
        <v>93</v>
      </c>
      <c r="F224" t="s">
        <v>42</v>
      </c>
      <c r="G224" t="s">
        <v>105</v>
      </c>
      <c r="H224" s="5">
        <v>0</v>
      </c>
      <c r="I224" s="7">
        <v>-17278</v>
      </c>
      <c r="J224" s="7">
        <f t="shared" si="3"/>
        <v>-17278</v>
      </c>
      <c r="K224" s="3">
        <v>45672</v>
      </c>
      <c r="L224" t="s">
        <v>95</v>
      </c>
      <c r="M224" s="4" t="s">
        <v>96</v>
      </c>
    </row>
    <row r="225" spans="1:13" ht="28.8" x14ac:dyDescent="0.3">
      <c r="A225" s="3">
        <v>45945</v>
      </c>
      <c r="B225" t="s">
        <v>41</v>
      </c>
      <c r="C225" t="s">
        <v>27</v>
      </c>
      <c r="D225" t="s">
        <v>92</v>
      </c>
      <c r="E225" t="s">
        <v>93</v>
      </c>
      <c r="F225" t="s">
        <v>57</v>
      </c>
      <c r="G225" t="s">
        <v>105</v>
      </c>
      <c r="H225" s="5">
        <v>0</v>
      </c>
      <c r="I225" s="7">
        <v>-17061</v>
      </c>
      <c r="J225" s="7">
        <f t="shared" si="3"/>
        <v>-17061</v>
      </c>
      <c r="K225" s="3">
        <v>45966</v>
      </c>
      <c r="L225" t="s">
        <v>101</v>
      </c>
      <c r="M225" s="4" t="s">
        <v>112</v>
      </c>
    </row>
    <row r="226" spans="1:13" ht="28.8" x14ac:dyDescent="0.3">
      <c r="A226" s="3">
        <v>45713</v>
      </c>
      <c r="B226" t="s">
        <v>56</v>
      </c>
      <c r="C226" t="s">
        <v>45</v>
      </c>
      <c r="D226" t="s">
        <v>98</v>
      </c>
      <c r="E226" t="s">
        <v>99</v>
      </c>
      <c r="F226" t="s">
        <v>104</v>
      </c>
      <c r="G226" t="s">
        <v>94</v>
      </c>
      <c r="H226" s="5">
        <v>0</v>
      </c>
      <c r="I226" s="7">
        <v>-6036</v>
      </c>
      <c r="J226" s="7">
        <f t="shared" si="3"/>
        <v>-6036</v>
      </c>
      <c r="K226" s="3">
        <v>45743</v>
      </c>
      <c r="L226" t="s">
        <v>95</v>
      </c>
      <c r="M226" s="4" t="s">
        <v>96</v>
      </c>
    </row>
    <row r="227" spans="1:13" ht="28.8" x14ac:dyDescent="0.3">
      <c r="A227" s="3">
        <v>45938</v>
      </c>
      <c r="B227" t="s">
        <v>41</v>
      </c>
      <c r="C227" t="s">
        <v>27</v>
      </c>
      <c r="D227" t="s">
        <v>92</v>
      </c>
      <c r="E227" t="s">
        <v>103</v>
      </c>
      <c r="F227" t="s">
        <v>57</v>
      </c>
      <c r="G227" t="s">
        <v>107</v>
      </c>
      <c r="H227" s="5">
        <v>0</v>
      </c>
      <c r="I227" s="7">
        <v>359</v>
      </c>
      <c r="J227" s="7">
        <f t="shared" si="3"/>
        <v>359</v>
      </c>
      <c r="K227" s="3">
        <v>45952</v>
      </c>
      <c r="L227" t="s">
        <v>101</v>
      </c>
      <c r="M227" s="4" t="s">
        <v>106</v>
      </c>
    </row>
    <row r="228" spans="1:13" ht="28.8" x14ac:dyDescent="0.3">
      <c r="A228" s="3">
        <v>45968</v>
      </c>
      <c r="B228" t="s">
        <v>56</v>
      </c>
      <c r="C228" t="s">
        <v>63</v>
      </c>
      <c r="D228" t="s">
        <v>92</v>
      </c>
      <c r="E228" t="s">
        <v>93</v>
      </c>
      <c r="F228" t="s">
        <v>104</v>
      </c>
      <c r="G228" t="s">
        <v>94</v>
      </c>
      <c r="H228" s="5">
        <v>0</v>
      </c>
      <c r="I228" s="7">
        <v>-2519</v>
      </c>
      <c r="J228" s="7">
        <f t="shared" si="3"/>
        <v>-2519</v>
      </c>
      <c r="K228" s="3">
        <v>45989</v>
      </c>
      <c r="L228" t="s">
        <v>101</v>
      </c>
      <c r="M228" s="4" t="s">
        <v>106</v>
      </c>
    </row>
    <row r="229" spans="1:13" ht="28.8" x14ac:dyDescent="0.3">
      <c r="A229" s="3">
        <v>45862</v>
      </c>
      <c r="B229" t="s">
        <v>53</v>
      </c>
      <c r="C229" t="s">
        <v>63</v>
      </c>
      <c r="D229" t="s">
        <v>92</v>
      </c>
      <c r="E229" t="s">
        <v>103</v>
      </c>
      <c r="F229" t="s">
        <v>57</v>
      </c>
      <c r="G229" t="s">
        <v>94</v>
      </c>
      <c r="H229" s="5">
        <v>0</v>
      </c>
      <c r="I229" s="7">
        <v>-2016</v>
      </c>
      <c r="J229" s="7">
        <f t="shared" si="3"/>
        <v>-2016</v>
      </c>
      <c r="K229" s="3">
        <v>45876</v>
      </c>
      <c r="L229" t="s">
        <v>95</v>
      </c>
      <c r="M229" s="4" t="s">
        <v>108</v>
      </c>
    </row>
    <row r="230" spans="1:13" ht="28.8" x14ac:dyDescent="0.3">
      <c r="A230" s="3">
        <v>45895</v>
      </c>
      <c r="B230" t="s">
        <v>102</v>
      </c>
      <c r="C230" t="s">
        <v>27</v>
      </c>
      <c r="D230" t="s">
        <v>92</v>
      </c>
      <c r="E230" t="s">
        <v>109</v>
      </c>
      <c r="F230" t="s">
        <v>104</v>
      </c>
      <c r="G230" t="s">
        <v>110</v>
      </c>
      <c r="H230" s="5">
        <v>2389</v>
      </c>
      <c r="I230" s="7">
        <v>15601</v>
      </c>
      <c r="J230" s="7">
        <f t="shared" si="3"/>
        <v>17990</v>
      </c>
      <c r="K230" s="3">
        <v>45940</v>
      </c>
      <c r="L230" t="s">
        <v>101</v>
      </c>
      <c r="M230" s="4" t="s">
        <v>96</v>
      </c>
    </row>
    <row r="231" spans="1:13" ht="28.8" x14ac:dyDescent="0.3">
      <c r="A231" s="3">
        <v>45842</v>
      </c>
      <c r="B231" t="s">
        <v>49</v>
      </c>
      <c r="C231" t="s">
        <v>27</v>
      </c>
      <c r="D231" t="s">
        <v>98</v>
      </c>
      <c r="E231" t="s">
        <v>109</v>
      </c>
      <c r="F231" t="s">
        <v>115</v>
      </c>
      <c r="G231" t="s">
        <v>110</v>
      </c>
      <c r="H231" s="5">
        <v>1134</v>
      </c>
      <c r="I231" s="7">
        <v>8005</v>
      </c>
      <c r="J231" s="7">
        <f t="shared" si="3"/>
        <v>9139</v>
      </c>
      <c r="K231" s="3">
        <v>45863</v>
      </c>
      <c r="L231" t="s">
        <v>95</v>
      </c>
      <c r="M231" s="4" t="s">
        <v>112</v>
      </c>
    </row>
    <row r="232" spans="1:13" ht="28.8" x14ac:dyDescent="0.3">
      <c r="A232" s="3">
        <v>45832</v>
      </c>
      <c r="B232" t="s">
        <v>44</v>
      </c>
      <c r="C232" t="s">
        <v>63</v>
      </c>
      <c r="D232" t="s">
        <v>98</v>
      </c>
      <c r="E232" t="s">
        <v>103</v>
      </c>
      <c r="F232" t="s">
        <v>57</v>
      </c>
      <c r="G232" t="s">
        <v>116</v>
      </c>
      <c r="H232" s="5">
        <v>1980</v>
      </c>
      <c r="I232" s="7">
        <v>-5480</v>
      </c>
      <c r="J232" s="7">
        <f t="shared" si="3"/>
        <v>-3500</v>
      </c>
      <c r="K232" s="3">
        <v>45839</v>
      </c>
      <c r="L232" t="s">
        <v>101</v>
      </c>
      <c r="M232" s="4" t="s">
        <v>106</v>
      </c>
    </row>
    <row r="233" spans="1:13" ht="28.8" x14ac:dyDescent="0.3">
      <c r="A233" s="3">
        <v>45837</v>
      </c>
      <c r="B233" t="s">
        <v>59</v>
      </c>
      <c r="C233" t="s">
        <v>63</v>
      </c>
      <c r="D233" t="s">
        <v>92</v>
      </c>
      <c r="E233" t="s">
        <v>113</v>
      </c>
      <c r="F233" t="s">
        <v>47</v>
      </c>
      <c r="G233" t="s">
        <v>110</v>
      </c>
      <c r="H233" s="5">
        <v>1801</v>
      </c>
      <c r="I233" s="7">
        <v>-18507</v>
      </c>
      <c r="J233" s="7">
        <f t="shared" si="3"/>
        <v>-16706</v>
      </c>
      <c r="K233" s="3">
        <v>45844</v>
      </c>
      <c r="L233" t="s">
        <v>95</v>
      </c>
      <c r="M233" s="4" t="s">
        <v>112</v>
      </c>
    </row>
    <row r="234" spans="1:13" ht="28.8" x14ac:dyDescent="0.3">
      <c r="A234" s="3">
        <v>45776</v>
      </c>
      <c r="B234" t="s">
        <v>56</v>
      </c>
      <c r="C234" t="s">
        <v>27</v>
      </c>
      <c r="D234" t="s">
        <v>92</v>
      </c>
      <c r="E234" t="s">
        <v>99</v>
      </c>
      <c r="F234" t="s">
        <v>115</v>
      </c>
      <c r="G234" t="s">
        <v>94</v>
      </c>
      <c r="H234" s="5">
        <v>1033</v>
      </c>
      <c r="I234" s="7">
        <v>-8479</v>
      </c>
      <c r="J234" s="7">
        <f t="shared" si="3"/>
        <v>-7446</v>
      </c>
      <c r="K234" s="3">
        <v>45783</v>
      </c>
      <c r="L234" t="s">
        <v>95</v>
      </c>
      <c r="M234" s="4" t="s">
        <v>96</v>
      </c>
    </row>
    <row r="235" spans="1:13" ht="28.8" x14ac:dyDescent="0.3">
      <c r="A235" s="3">
        <v>45927</v>
      </c>
      <c r="B235" t="s">
        <v>102</v>
      </c>
      <c r="C235" t="s">
        <v>27</v>
      </c>
      <c r="D235" t="s">
        <v>92</v>
      </c>
      <c r="E235" t="s">
        <v>93</v>
      </c>
      <c r="F235" t="s">
        <v>104</v>
      </c>
      <c r="G235" t="s">
        <v>105</v>
      </c>
      <c r="H235" s="5">
        <v>0</v>
      </c>
      <c r="I235" s="7">
        <v>15936</v>
      </c>
      <c r="J235" s="7">
        <f t="shared" si="3"/>
        <v>15936</v>
      </c>
      <c r="K235" s="3">
        <v>45941</v>
      </c>
      <c r="L235" t="s">
        <v>101</v>
      </c>
      <c r="M235" s="4" t="s">
        <v>112</v>
      </c>
    </row>
    <row r="236" spans="1:13" ht="28.8" x14ac:dyDescent="0.3">
      <c r="A236" s="3">
        <v>45764</v>
      </c>
      <c r="B236" t="s">
        <v>56</v>
      </c>
      <c r="C236" t="s">
        <v>63</v>
      </c>
      <c r="D236" t="s">
        <v>98</v>
      </c>
      <c r="E236" t="s">
        <v>109</v>
      </c>
      <c r="F236" t="s">
        <v>67</v>
      </c>
      <c r="G236" t="s">
        <v>110</v>
      </c>
      <c r="H236" s="5">
        <v>1239</v>
      </c>
      <c r="I236" s="7">
        <v>497</v>
      </c>
      <c r="J236" s="7">
        <f t="shared" si="3"/>
        <v>1736</v>
      </c>
      <c r="K236" s="3">
        <v>45771</v>
      </c>
      <c r="L236" t="s">
        <v>95</v>
      </c>
      <c r="M236" s="4" t="s">
        <v>114</v>
      </c>
    </row>
    <row r="237" spans="1:13" ht="28.8" x14ac:dyDescent="0.3">
      <c r="A237" s="3">
        <v>45753</v>
      </c>
      <c r="B237" t="s">
        <v>49</v>
      </c>
      <c r="C237" t="s">
        <v>45</v>
      </c>
      <c r="D237" t="s">
        <v>92</v>
      </c>
      <c r="E237" t="s">
        <v>99</v>
      </c>
      <c r="F237" t="s">
        <v>57</v>
      </c>
      <c r="G237" t="s">
        <v>100</v>
      </c>
      <c r="H237" s="5">
        <v>0</v>
      </c>
      <c r="I237" s="7">
        <v>-8931</v>
      </c>
      <c r="J237" s="7">
        <f t="shared" si="3"/>
        <v>-8931</v>
      </c>
      <c r="K237" s="3">
        <v>45767</v>
      </c>
      <c r="L237" t="s">
        <v>101</v>
      </c>
      <c r="M237" s="4" t="s">
        <v>114</v>
      </c>
    </row>
    <row r="238" spans="1:13" ht="28.8" x14ac:dyDescent="0.3">
      <c r="A238" s="3">
        <v>45889</v>
      </c>
      <c r="B238" t="s">
        <v>53</v>
      </c>
      <c r="C238" t="s">
        <v>63</v>
      </c>
      <c r="D238" t="s">
        <v>98</v>
      </c>
      <c r="E238" t="s">
        <v>113</v>
      </c>
      <c r="F238" t="s">
        <v>104</v>
      </c>
      <c r="G238" t="s">
        <v>110</v>
      </c>
      <c r="H238" s="5">
        <v>2230</v>
      </c>
      <c r="I238" s="7">
        <v>-5635</v>
      </c>
      <c r="J238" s="7">
        <f t="shared" si="3"/>
        <v>-3405</v>
      </c>
      <c r="K238" s="3">
        <v>45910</v>
      </c>
      <c r="L238" t="s">
        <v>95</v>
      </c>
      <c r="M238" s="4" t="s">
        <v>96</v>
      </c>
    </row>
    <row r="239" spans="1:13" ht="28.8" x14ac:dyDescent="0.3">
      <c r="A239" s="3">
        <v>45893</v>
      </c>
      <c r="B239" t="s">
        <v>102</v>
      </c>
      <c r="C239" t="s">
        <v>63</v>
      </c>
      <c r="D239" t="s">
        <v>98</v>
      </c>
      <c r="E239" t="s">
        <v>103</v>
      </c>
      <c r="F239" t="s">
        <v>57</v>
      </c>
      <c r="G239" t="s">
        <v>100</v>
      </c>
      <c r="H239" s="5">
        <v>0</v>
      </c>
      <c r="I239" s="7">
        <v>-14878</v>
      </c>
      <c r="J239" s="7">
        <f t="shared" si="3"/>
        <v>-14878</v>
      </c>
      <c r="K239" s="3">
        <v>45900</v>
      </c>
      <c r="L239" t="s">
        <v>101</v>
      </c>
      <c r="M239" s="4" t="s">
        <v>96</v>
      </c>
    </row>
    <row r="240" spans="1:13" ht="28.8" x14ac:dyDescent="0.3">
      <c r="A240" s="3">
        <v>45903</v>
      </c>
      <c r="B240" t="s">
        <v>102</v>
      </c>
      <c r="C240" t="s">
        <v>63</v>
      </c>
      <c r="D240" t="s">
        <v>98</v>
      </c>
      <c r="E240" t="s">
        <v>113</v>
      </c>
      <c r="F240" t="s">
        <v>42</v>
      </c>
      <c r="G240" t="s">
        <v>94</v>
      </c>
      <c r="H240" s="5">
        <v>0</v>
      </c>
      <c r="I240" s="7">
        <v>14553</v>
      </c>
      <c r="J240" s="7">
        <f t="shared" si="3"/>
        <v>14553</v>
      </c>
      <c r="K240" s="3">
        <v>45917</v>
      </c>
      <c r="L240" t="s">
        <v>101</v>
      </c>
      <c r="M240" s="4" t="s">
        <v>112</v>
      </c>
    </row>
    <row r="241" spans="1:13" ht="28.8" x14ac:dyDescent="0.3">
      <c r="A241" s="3">
        <v>45731</v>
      </c>
      <c r="B241" t="s">
        <v>34</v>
      </c>
      <c r="C241" t="s">
        <v>27</v>
      </c>
      <c r="D241" t="s">
        <v>111</v>
      </c>
      <c r="E241" t="s">
        <v>109</v>
      </c>
      <c r="F241" t="s">
        <v>42</v>
      </c>
      <c r="G241" t="s">
        <v>94</v>
      </c>
      <c r="H241" s="5">
        <v>0</v>
      </c>
      <c r="I241" s="7">
        <v>-8286</v>
      </c>
      <c r="J241" s="7">
        <f t="shared" si="3"/>
        <v>-8286</v>
      </c>
      <c r="K241" s="3">
        <v>45752</v>
      </c>
      <c r="L241" t="s">
        <v>101</v>
      </c>
      <c r="M241" s="4" t="s">
        <v>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Trends</vt:lpstr>
      <vt:lpstr>Client Feedback</vt:lpstr>
      <vt:lpstr>Advisor 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Instructor1</cp:lastModifiedBy>
  <dcterms:modified xsi:type="dcterms:W3CDTF">2026-03-24T19:57:44Z</dcterms:modified>
</cp:coreProperties>
</file>